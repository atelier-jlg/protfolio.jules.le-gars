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Julou\Documents\Cours\BUT 1\4 - SAE\Semestre 2\SAÉ 2.02\Pour rendus\"/>
    </mc:Choice>
  </mc:AlternateContent>
  <xr:revisionPtr revIDLastSave="0" documentId="13_ncr:1_{C007B67E-52C6-4BCA-934D-4C8B2035C6DA}" xr6:coauthVersionLast="47" xr6:coauthVersionMax="47" xr10:uidLastSave="{00000000-0000-0000-0000-000000000000}"/>
  <bookViews>
    <workbookView xWindow="-23148" yWindow="4800" windowWidth="23256" windowHeight="12456" activeTab="3" xr2:uid="{D63F8541-94A0-4D31-AC2C-16224872588F}"/>
  </bookViews>
  <sheets>
    <sheet name="Matériau N°1" sheetId="1" r:id="rId1"/>
    <sheet name="Matériau N°2" sheetId="5" r:id="rId2"/>
    <sheet name="Classe GTR des compacteurs" sheetId="6" r:id="rId3"/>
    <sheet name="Grille de décision Matériau N°1" sheetId="7" r:id="rId4"/>
    <sheet name="Grille de décision Matériau N°2" sheetId="9" r:id="rId5"/>
  </sheets>
  <externalReferences>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9" l="1"/>
  <c r="N6" i="7"/>
  <c r="B18" i="6"/>
  <c r="B13" i="6"/>
  <c r="D12" i="6"/>
  <c r="D17" i="6"/>
  <c r="G48" i="5"/>
  <c r="G48" i="1"/>
  <c r="J43" i="5"/>
  <c r="D44" i="5"/>
  <c r="D44" i="1"/>
</calcChain>
</file>

<file path=xl/sharedStrings.xml><?xml version="1.0" encoding="utf-8"?>
<sst xmlns="http://schemas.openxmlformats.org/spreadsheetml/2006/main" count="284" uniqueCount="129">
  <si>
    <t>Chantier</t>
  </si>
  <si>
    <t>Lotissement de la Prinais</t>
  </si>
  <si>
    <t xml:space="preserve">Matériau N° </t>
  </si>
  <si>
    <t>Numéro des Sondages</t>
  </si>
  <si>
    <t>T1</t>
  </si>
  <si>
    <t>T4 bis</t>
  </si>
  <si>
    <t>B4</t>
  </si>
  <si>
    <t>Profondeurs</t>
  </si>
  <si>
    <t>0/3.0</t>
  </si>
  <si>
    <t>2.3/6.0</t>
  </si>
  <si>
    <t>0/5.6</t>
  </si>
  <si>
    <t>Formation géologique</t>
  </si>
  <si>
    <t>Schistes altérés</t>
  </si>
  <si>
    <t>Description lithologique</t>
  </si>
  <si>
    <t>Schistes grisatre à beige altéré en plaquettes friables et récupérés en produits sablo-argileux</t>
  </si>
  <si>
    <t>FRACTION INFERIEURE A 50 mm</t>
  </si>
  <si>
    <t>ANALYSES GRANULOMETRIQUES (Tamisat %)</t>
  </si>
  <si>
    <t>ANALYSE DE PLASTICITE</t>
  </si>
  <si>
    <t>wl</t>
  </si>
  <si>
    <t>wp</t>
  </si>
  <si>
    <t>Ip</t>
  </si>
  <si>
    <t>Dmax:</t>
  </si>
  <si>
    <t>VALEURS AU BLEU DU SOL</t>
  </si>
  <si>
    <t>WBS</t>
  </si>
  <si>
    <t>ESSAI PROCTOR</t>
  </si>
  <si>
    <t>W% Essais</t>
  </si>
  <si>
    <r>
      <t xml:space="preserve">g </t>
    </r>
    <r>
      <rPr>
        <sz val="10"/>
        <rFont val="Arial"/>
        <family val="2"/>
      </rPr>
      <t>opm</t>
    </r>
  </si>
  <si>
    <t>IPI</t>
  </si>
  <si>
    <t>W opm</t>
  </si>
  <si>
    <t xml:space="preserve">Eléments pour calculer la teneur en eau naturelle : </t>
  </si>
  <si>
    <t>Masse de l'échantillon humide :</t>
  </si>
  <si>
    <t>g</t>
  </si>
  <si>
    <t>Masse de l'échantillon sec</t>
  </si>
  <si>
    <t>TENEUR EN EAU NATURELLE</t>
  </si>
  <si>
    <t>W</t>
  </si>
  <si>
    <t>CLASSE GTR</t>
  </si>
  <si>
    <t>FRACTION SUPERIEURE A 50 mm</t>
  </si>
  <si>
    <t>Dmax</t>
  </si>
  <si>
    <t>Eléments roulés</t>
  </si>
  <si>
    <t>Refus à 50 mm</t>
  </si>
  <si>
    <t>SOL GLOBAL</t>
  </si>
  <si>
    <t>Matériau N°</t>
  </si>
  <si>
    <t>B1</t>
  </si>
  <si>
    <t>T4</t>
  </si>
  <si>
    <t>T5</t>
  </si>
  <si>
    <t>T6</t>
  </si>
  <si>
    <t>T7</t>
  </si>
  <si>
    <t>0/4.40</t>
  </si>
  <si>
    <t>5.6/6.8</t>
  </si>
  <si>
    <t>0.7/2.3</t>
  </si>
  <si>
    <t>0.3/3.0</t>
  </si>
  <si>
    <t>0.6/3.0</t>
  </si>
  <si>
    <t>0.8/3.0</t>
  </si>
  <si>
    <t>Argile à meunière</t>
  </si>
  <si>
    <t>Argile à meunière et alluvions grossiers</t>
  </si>
  <si>
    <t xml:space="preserve">Eléments pour le calcum de la teneur en eau </t>
  </si>
  <si>
    <t>Masse total de l'échantillon</t>
  </si>
  <si>
    <t>Masse sèche de l'échantillon</t>
  </si>
  <si>
    <t>oui</t>
  </si>
  <si>
    <t>GRILLE DE DECISION</t>
  </si>
  <si>
    <t xml:space="preserve">Matériau : </t>
  </si>
  <si>
    <t>W % OPN 0/20 :</t>
  </si>
  <si>
    <r>
      <t xml:space="preserve">g </t>
    </r>
    <r>
      <rPr>
        <sz val="14"/>
        <rFont val="Arial"/>
        <family val="2"/>
      </rPr>
      <t xml:space="preserve">OPN 0/20 : </t>
    </r>
  </si>
  <si>
    <t>W% naturelle</t>
  </si>
  <si>
    <t>th</t>
  </si>
  <si>
    <t>h</t>
  </si>
  <si>
    <t>m</t>
  </si>
  <si>
    <t>s</t>
  </si>
  <si>
    <t>ts</t>
  </si>
  <si>
    <t>Météo</t>
  </si>
  <si>
    <t>+</t>
  </si>
  <si>
    <t>=</t>
  </si>
  <si>
    <t>-</t>
  </si>
  <si>
    <t>Compactage</t>
  </si>
  <si>
    <t>Comp. Si arrosage</t>
  </si>
  <si>
    <t>Comp. Si humidific.</t>
  </si>
  <si>
    <t>Comp. Si aération</t>
  </si>
  <si>
    <t>Comp si traitement</t>
  </si>
  <si>
    <t>Observations</t>
  </si>
  <si>
    <t>Compacteur</t>
  </si>
  <si>
    <t>Energie de compactage faible code 3</t>
  </si>
  <si>
    <t>Q/S</t>
  </si>
  <si>
    <t>e</t>
  </si>
  <si>
    <t>V</t>
  </si>
  <si>
    <t>N</t>
  </si>
  <si>
    <t>Q/L</t>
  </si>
  <si>
    <t>Energie de compactage moyen code 2</t>
  </si>
  <si>
    <t>Energie de compactage intense code 1</t>
  </si>
  <si>
    <t>0,08 mm</t>
  </si>
  <si>
    <t>2 mm</t>
  </si>
  <si>
    <t>50 mm</t>
  </si>
  <si>
    <t>et</t>
  </si>
  <si>
    <t>Wn</t>
  </si>
  <si>
    <t>Wn =</t>
  </si>
  <si>
    <t>IP=10</t>
  </si>
  <si>
    <t>IP=20</t>
  </si>
  <si>
    <t>VBS</t>
  </si>
  <si>
    <t>VBS&gt;0,1</t>
  </si>
  <si>
    <t>Dmax&gt;50mm</t>
  </si>
  <si>
    <t>C</t>
  </si>
  <si>
    <t>C1B4</t>
  </si>
  <si>
    <t>C1B4h</t>
  </si>
  <si>
    <t>B</t>
  </si>
  <si>
    <t>B5</t>
  </si>
  <si>
    <t>B5m</t>
  </si>
  <si>
    <t>Selon les conditions météorologique, le code EGWTRCH varie, il faudra donc s'adapter au temps sur site. Dans des conditions idéales (ni pluie ni évaporation importante) on préconise en compactage moyen.</t>
  </si>
  <si>
    <t>Compacteur vibrant :</t>
  </si>
  <si>
    <t>Compacteur à pneus :</t>
  </si>
  <si>
    <t>Charge par roue :</t>
  </si>
  <si>
    <t>Valeur de (M1/L)xA0^(-2) :</t>
  </si>
  <si>
    <t>La proportion de fines et la faible plasticité de ces dernières, rapprochent beaucoup le comportement de ces sols de celui des sols A1. Pour la même raison qu'indiquée à propos des sols A1,il y a lieu de préférer le critère VBS au critère Ip, pour l'identification des sols B5 .Leur emploi en couche de forme sans traitement avec des LH nécessite de connaître leur résistance mécanique (Los Angelès, LA, et/ou Micro Deval en présence d'eau, MDE).</t>
  </si>
  <si>
    <t>SOLS SABLEUX ET GRAVELEUX
AVEC FINES</t>
  </si>
  <si>
    <r>
      <t>B</t>
    </r>
    <r>
      <rPr>
        <b/>
        <sz val="9"/>
        <rFont val="Arial"/>
        <family val="2"/>
      </rPr>
      <t>5</t>
    </r>
    <r>
      <rPr>
        <b/>
        <sz val="16"/>
        <rFont val="Arial"/>
        <family val="2"/>
      </rPr>
      <t xml:space="preserve">m </t>
    </r>
  </si>
  <si>
    <t>Wn&gt;1,25Wopn</t>
  </si>
  <si>
    <r>
      <t>1,10W</t>
    </r>
    <r>
      <rPr>
        <sz val="11"/>
        <rFont val="Arial"/>
        <family val="2"/>
      </rPr>
      <t>opn</t>
    </r>
    <r>
      <rPr>
        <sz val="14"/>
        <rFont val="Arial"/>
        <family val="2"/>
      </rPr>
      <t xml:space="preserve"> </t>
    </r>
    <r>
      <rPr>
        <sz val="14"/>
        <rFont val="Calibri"/>
        <family val="2"/>
      </rPr>
      <t>≤</t>
    </r>
    <r>
      <rPr>
        <sz val="14"/>
        <rFont val="Arial"/>
        <family val="2"/>
      </rPr>
      <t xml:space="preserve"> Wn &lt;1,25W</t>
    </r>
    <r>
      <rPr>
        <sz val="11"/>
        <rFont val="Arial"/>
        <family val="2"/>
      </rPr>
      <t>opn</t>
    </r>
  </si>
  <si>
    <r>
      <t>0,9W</t>
    </r>
    <r>
      <rPr>
        <sz val="11"/>
        <rFont val="Arial"/>
        <family val="2"/>
      </rPr>
      <t>opn</t>
    </r>
    <r>
      <rPr>
        <sz val="14"/>
        <rFont val="Arial"/>
        <family val="2"/>
      </rPr>
      <t xml:space="preserve"> ≤ Wn &lt; 1,10W</t>
    </r>
    <r>
      <rPr>
        <sz val="11"/>
        <rFont val="Arial"/>
        <family val="2"/>
      </rPr>
      <t>opn</t>
    </r>
  </si>
  <si>
    <r>
      <t>B</t>
    </r>
    <r>
      <rPr>
        <b/>
        <sz val="9"/>
        <rFont val="Arial"/>
        <family val="2"/>
      </rPr>
      <t>2</t>
    </r>
    <r>
      <rPr>
        <b/>
        <sz val="16"/>
        <rFont val="Arial"/>
        <family val="2"/>
      </rPr>
      <t xml:space="preserve">h </t>
    </r>
  </si>
  <si>
    <r>
      <t>0,5W</t>
    </r>
    <r>
      <rPr>
        <sz val="11"/>
        <rFont val="Arial"/>
        <family val="2"/>
      </rPr>
      <t>opn</t>
    </r>
    <r>
      <rPr>
        <sz val="14"/>
        <rFont val="Arial"/>
        <family val="2"/>
      </rPr>
      <t xml:space="preserve"> ≤ Wn &lt; 0,9W</t>
    </r>
    <r>
      <rPr>
        <sz val="11"/>
        <rFont val="Arial"/>
        <family val="2"/>
      </rPr>
      <t>opn</t>
    </r>
  </si>
  <si>
    <r>
      <t xml:space="preserve"> Wn &lt; 0,5W</t>
    </r>
    <r>
      <rPr>
        <sz val="11"/>
        <rFont val="Arial"/>
        <family val="2"/>
      </rPr>
      <t>opn</t>
    </r>
  </si>
  <si>
    <t>3*</t>
  </si>
  <si>
    <t>2*</t>
  </si>
  <si>
    <t>1*</t>
  </si>
  <si>
    <t>Wn = ??</t>
  </si>
  <si>
    <t>(ts)</t>
  </si>
  <si>
    <t>Couche mince h &lt; 10 m</t>
  </si>
  <si>
    <t>h &lt; 5 m</t>
  </si>
  <si>
    <t>h &lt; 10 m</t>
  </si>
  <si>
    <t>V1</t>
  </si>
  <si>
    <t>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</si>
</sst>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72" formatCode="0.00&quot; Wopn&quot;"/>
    <numFmt numFmtId="173" formatCode="0.00&quot; kN&quot;"/>
    <numFmt numFmtId="182" formatCode="0.00&quot; x Wopn&quot;"/>
    <numFmt numFmtId="183" formatCode="&quot;Wn = &quot;0%"/>
  </numFmts>
  <fonts count="17" x14ac:knownFonts="1">
    <font>
      <sz val="11"/>
      <color theme="1"/>
      <name val="Calibri"/>
      <family val="2"/>
      <scheme val="minor"/>
    </font>
    <font>
      <sz val="11"/>
      <color theme="1"/>
      <name val="Calibri"/>
      <family val="2"/>
      <scheme val="minor"/>
    </font>
    <font>
      <b/>
      <sz val="10"/>
      <name val="Arial"/>
      <family val="2"/>
    </font>
    <font>
      <b/>
      <u/>
      <sz val="10"/>
      <name val="Arial"/>
      <family val="2"/>
    </font>
    <font>
      <sz val="10"/>
      <name val="GreekC"/>
    </font>
    <font>
      <sz val="10"/>
      <name val="Arial"/>
      <family val="2"/>
    </font>
    <font>
      <b/>
      <sz val="11"/>
      <color theme="1"/>
      <name val="Calibri"/>
      <family val="2"/>
      <scheme val="minor"/>
    </font>
    <font>
      <sz val="10"/>
      <name val="Arial"/>
    </font>
    <font>
      <b/>
      <sz val="20"/>
      <name val="Arial"/>
      <family val="2"/>
    </font>
    <font>
      <b/>
      <sz val="16"/>
      <name val="Arial"/>
      <family val="2"/>
    </font>
    <font>
      <sz val="11"/>
      <name val="Arial"/>
      <family val="2"/>
    </font>
    <font>
      <sz val="12"/>
      <name val="Arial"/>
      <family val="2"/>
    </font>
    <font>
      <sz val="14"/>
      <name val="Arial"/>
      <family val="2"/>
    </font>
    <font>
      <sz val="14"/>
      <name val="Calibri"/>
      <family val="2"/>
    </font>
    <font>
      <sz val="14"/>
      <name val="GreekC"/>
    </font>
    <font>
      <sz val="16"/>
      <name val="Arial"/>
      <family val="2"/>
    </font>
    <font>
      <b/>
      <sz val="9"/>
      <name val="Arial"/>
      <family val="2"/>
    </font>
  </fonts>
  <fills count="4">
    <fill>
      <patternFill patternType="none"/>
    </fill>
    <fill>
      <patternFill patternType="gray125"/>
    </fill>
    <fill>
      <patternFill patternType="solid">
        <fgColor theme="0"/>
        <bgColor indexed="64"/>
      </patternFill>
    </fill>
    <fill>
      <patternFill patternType="solid">
        <fgColor rgb="FFFFC0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applyFont="0" applyFill="0" applyBorder="0" applyAlignment="0" applyProtection="0"/>
    <xf numFmtId="0" fontId="7" fillId="0" borderId="0"/>
  </cellStyleXfs>
  <cellXfs count="101">
    <xf numFmtId="0" fontId="0" fillId="0" borderId="0" xfId="0"/>
    <xf numFmtId="0" fontId="0" fillId="2" borderId="0" xfId="0" applyFill="1" applyAlignment="1">
      <alignment horizontal="right"/>
    </xf>
    <xf numFmtId="0" fontId="0" fillId="2" borderId="0" xfId="0" applyFill="1"/>
    <xf numFmtId="0" fontId="2" fillId="2" borderId="0" xfId="0" applyFont="1" applyFill="1" applyAlignment="1">
      <alignment horizontal="right"/>
    </xf>
    <xf numFmtId="0" fontId="2" fillId="2" borderId="0" xfId="0" applyFont="1" applyFill="1" applyAlignment="1">
      <alignment horizontal="left"/>
    </xf>
    <xf numFmtId="0" fontId="0" fillId="2" borderId="1" xfId="0" applyFill="1" applyBorder="1" applyAlignment="1">
      <alignment horizontal="center"/>
    </xf>
    <xf numFmtId="0" fontId="3" fillId="2" borderId="0" xfId="0" applyFont="1" applyFill="1"/>
    <xf numFmtId="0" fontId="0" fillId="2" borderId="0" xfId="0" applyFill="1" applyAlignment="1">
      <alignment horizontal="left"/>
    </xf>
    <xf numFmtId="0" fontId="0" fillId="2" borderId="1" xfId="0" applyFill="1" applyBorder="1"/>
    <xf numFmtId="0" fontId="4" fillId="2" borderId="1" xfId="0" applyFont="1" applyFill="1" applyBorder="1"/>
    <xf numFmtId="0" fontId="0" fillId="2" borderId="1" xfId="0" applyFill="1" applyBorder="1" applyAlignment="1">
      <alignment horizontal="center"/>
    </xf>
    <xf numFmtId="0" fontId="4" fillId="2" borderId="1" xfId="0" applyFont="1" applyFill="1" applyBorder="1" applyAlignment="1">
      <alignment horizontal="center"/>
    </xf>
    <xf numFmtId="0" fontId="5" fillId="2" borderId="0" xfId="0" applyFont="1" applyFill="1"/>
    <xf numFmtId="164" fontId="0" fillId="2" borderId="1" xfId="1" applyNumberFormat="1" applyFont="1" applyFill="1" applyBorder="1" applyAlignment="1">
      <alignment horizontal="center"/>
    </xf>
    <xf numFmtId="0" fontId="0" fillId="2" borderId="1" xfId="0" applyFill="1" applyBorder="1" applyAlignment="1">
      <alignment horizontal="left"/>
    </xf>
    <xf numFmtId="9" fontId="0" fillId="2" borderId="0" xfId="0" applyNumberFormat="1" applyFill="1" applyAlignment="1">
      <alignment horizontal="left"/>
    </xf>
    <xf numFmtId="0" fontId="8" fillId="2" borderId="0" xfId="2" applyFont="1" applyFill="1" applyAlignment="1">
      <alignment horizontal="center"/>
    </xf>
    <xf numFmtId="0" fontId="7" fillId="2" borderId="0" xfId="2" applyFill="1" applyAlignment="1">
      <alignment vertical="center"/>
    </xf>
    <xf numFmtId="0" fontId="7" fillId="2" borderId="2" xfId="2" applyFill="1" applyBorder="1" applyAlignment="1">
      <alignment vertical="center"/>
    </xf>
    <xf numFmtId="0" fontId="7" fillId="2" borderId="3" xfId="2" applyFill="1" applyBorder="1" applyAlignment="1">
      <alignment vertical="center"/>
    </xf>
    <xf numFmtId="0" fontId="7" fillId="2" borderId="4" xfId="2" applyFill="1" applyBorder="1" applyAlignment="1">
      <alignment vertical="center"/>
    </xf>
    <xf numFmtId="0" fontId="7" fillId="2" borderId="0" xfId="2" applyFill="1" applyBorder="1" applyAlignment="1">
      <alignment vertical="center"/>
    </xf>
    <xf numFmtId="0" fontId="7" fillId="2" borderId="5" xfId="2" applyFill="1" applyBorder="1" applyAlignment="1">
      <alignment vertical="center"/>
    </xf>
    <xf numFmtId="0" fontId="7" fillId="2" borderId="6" xfId="2" applyFill="1" applyBorder="1" applyAlignment="1">
      <alignment vertical="center"/>
    </xf>
    <xf numFmtId="0" fontId="12" fillId="2" borderId="4" xfId="2" applyFont="1" applyFill="1" applyBorder="1" applyAlignment="1">
      <alignment horizontal="right" vertical="center"/>
    </xf>
    <xf numFmtId="0" fontId="12" fillId="2" borderId="0" xfId="2" applyFont="1" applyFill="1" applyBorder="1" applyAlignment="1">
      <alignment horizontal="right" vertical="center"/>
    </xf>
    <xf numFmtId="9" fontId="12" fillId="2" borderId="0" xfId="2" applyNumberFormat="1" applyFont="1" applyFill="1" applyBorder="1" applyAlignment="1">
      <alignment vertical="center"/>
    </xf>
    <xf numFmtId="0" fontId="7" fillId="2" borderId="7" xfId="2" applyFill="1" applyBorder="1" applyAlignment="1">
      <alignment vertical="center"/>
    </xf>
    <xf numFmtId="0" fontId="14" fillId="2" borderId="4" xfId="2" applyFont="1" applyFill="1" applyBorder="1" applyAlignment="1">
      <alignment horizontal="right" vertical="center"/>
    </xf>
    <xf numFmtId="0" fontId="14" fillId="2" borderId="0" xfId="2" applyFont="1" applyFill="1" applyBorder="1" applyAlignment="1">
      <alignment horizontal="right" vertical="center"/>
    </xf>
    <xf numFmtId="0" fontId="12" fillId="2" borderId="0" xfId="2" applyFont="1" applyFill="1" applyBorder="1" applyAlignment="1">
      <alignment vertical="center"/>
    </xf>
    <xf numFmtId="0" fontId="7" fillId="2" borderId="8" xfId="2" applyFill="1" applyBorder="1" applyAlignment="1">
      <alignment vertical="center"/>
    </xf>
    <xf numFmtId="0" fontId="7" fillId="2" borderId="9" xfId="2" applyFill="1" applyBorder="1" applyAlignment="1">
      <alignment vertical="center"/>
    </xf>
    <xf numFmtId="0" fontId="11" fillId="2" borderId="11" xfId="2" applyFont="1" applyFill="1" applyBorder="1" applyAlignment="1">
      <alignment vertical="center"/>
    </xf>
    <xf numFmtId="0" fontId="12" fillId="2" borderId="19" xfId="2" applyFont="1" applyFill="1" applyBorder="1" applyAlignment="1">
      <alignment horizontal="center" vertical="center"/>
    </xf>
    <xf numFmtId="0" fontId="12" fillId="2" borderId="20" xfId="2" applyFont="1" applyFill="1" applyBorder="1" applyAlignment="1">
      <alignment horizontal="center" vertical="center"/>
    </xf>
    <xf numFmtId="0" fontId="11" fillId="2" borderId="12" xfId="2" applyFont="1" applyFill="1" applyBorder="1" applyAlignment="1">
      <alignment vertical="center"/>
    </xf>
    <xf numFmtId="0" fontId="12" fillId="2" borderId="1" xfId="2" applyFont="1" applyFill="1" applyBorder="1" applyAlignment="1">
      <alignment horizontal="center" vertical="center"/>
    </xf>
    <xf numFmtId="0" fontId="12" fillId="2" borderId="10" xfId="2" applyFont="1" applyFill="1" applyBorder="1" applyAlignment="1">
      <alignment horizontal="center" vertical="center"/>
    </xf>
    <xf numFmtId="0" fontId="12" fillId="2" borderId="1" xfId="2" applyFont="1" applyFill="1" applyBorder="1" applyAlignment="1">
      <alignment horizontal="center" vertical="center"/>
    </xf>
    <xf numFmtId="0" fontId="12" fillId="2" borderId="10" xfId="2" applyFont="1" applyFill="1" applyBorder="1" applyAlignment="1">
      <alignment horizontal="center" vertical="center"/>
    </xf>
    <xf numFmtId="0" fontId="11" fillId="2" borderId="13" xfId="2" applyFont="1" applyFill="1" applyBorder="1" applyAlignment="1">
      <alignment vertical="center"/>
    </xf>
    <xf numFmtId="0" fontId="10" fillId="2" borderId="17" xfId="2" applyFont="1" applyFill="1" applyBorder="1" applyAlignment="1">
      <alignment horizontal="center" vertical="center" wrapText="1"/>
    </xf>
    <xf numFmtId="0" fontId="15" fillId="2" borderId="0" xfId="2" applyFont="1" applyFill="1" applyAlignment="1">
      <alignment vertical="center"/>
    </xf>
    <xf numFmtId="0" fontId="15" fillId="2" borderId="11" xfId="2" applyFont="1" applyFill="1" applyBorder="1" applyAlignment="1">
      <alignment horizontal="center" vertical="center"/>
    </xf>
    <xf numFmtId="0" fontId="15" fillId="2" borderId="19" xfId="2" applyFont="1" applyFill="1" applyBorder="1" applyAlignment="1">
      <alignment horizontal="center" vertical="center"/>
    </xf>
    <xf numFmtId="0" fontId="15" fillId="2" borderId="20" xfId="2" applyFont="1" applyFill="1" applyBorder="1" applyAlignment="1">
      <alignment horizontal="center" vertical="center"/>
    </xf>
    <xf numFmtId="0" fontId="15" fillId="2" borderId="14" xfId="2" applyFont="1" applyFill="1" applyBorder="1" applyAlignment="1">
      <alignment horizontal="center" vertical="center"/>
    </xf>
    <xf numFmtId="0" fontId="15" fillId="2" borderId="16" xfId="2" applyFont="1" applyFill="1" applyBorder="1" applyAlignment="1">
      <alignment horizontal="center" vertical="center"/>
    </xf>
    <xf numFmtId="0" fontId="15" fillId="2" borderId="21" xfId="2" applyFont="1" applyFill="1" applyBorder="1" applyAlignment="1">
      <alignment horizontal="center" vertical="center" wrapText="1"/>
    </xf>
    <xf numFmtId="0" fontId="15" fillId="2" borderId="12" xfId="2" applyFont="1" applyFill="1" applyBorder="1" applyAlignment="1">
      <alignment horizontal="center" vertical="center"/>
    </xf>
    <xf numFmtId="0" fontId="15" fillId="2" borderId="1" xfId="2" applyFont="1" applyFill="1" applyBorder="1" applyAlignment="1">
      <alignment horizontal="center" vertical="center"/>
    </xf>
    <xf numFmtId="0" fontId="15" fillId="2" borderId="10" xfId="2" applyFont="1" applyFill="1" applyBorder="1" applyAlignment="1">
      <alignment horizontal="center" vertical="center"/>
    </xf>
    <xf numFmtId="0" fontId="15" fillId="2" borderId="24" xfId="2" applyFont="1" applyFill="1" applyBorder="1" applyAlignment="1">
      <alignment horizontal="center" vertical="center"/>
    </xf>
    <xf numFmtId="0" fontId="15" fillId="2" borderId="25" xfId="2" applyFont="1" applyFill="1" applyBorder="1" applyAlignment="1">
      <alignment horizontal="center" vertical="center"/>
    </xf>
    <xf numFmtId="0" fontId="15" fillId="2" borderId="22" xfId="2" applyFont="1" applyFill="1" applyBorder="1" applyAlignment="1">
      <alignment horizontal="center" vertical="center" wrapText="1"/>
    </xf>
    <xf numFmtId="0" fontId="15" fillId="2" borderId="23" xfId="2" applyFont="1" applyFill="1" applyBorder="1" applyAlignment="1">
      <alignment horizontal="center" vertical="center" wrapText="1"/>
    </xf>
    <xf numFmtId="0" fontId="15" fillId="2" borderId="13" xfId="2" applyFont="1" applyFill="1" applyBorder="1" applyAlignment="1">
      <alignment horizontal="center" vertical="center"/>
    </xf>
    <xf numFmtId="0" fontId="15" fillId="2" borderId="17" xfId="2" applyFont="1" applyFill="1" applyBorder="1" applyAlignment="1">
      <alignment horizontal="center" vertical="center"/>
    </xf>
    <xf numFmtId="0" fontId="15" fillId="2" borderId="18" xfId="2" applyFont="1" applyFill="1" applyBorder="1" applyAlignment="1">
      <alignment horizontal="center" vertical="center"/>
    </xf>
    <xf numFmtId="0" fontId="15" fillId="2" borderId="15" xfId="2" applyFont="1" applyFill="1" applyBorder="1" applyAlignment="1">
      <alignment horizontal="center" vertical="center"/>
    </xf>
    <xf numFmtId="0" fontId="0" fillId="3" borderId="1" xfId="0" applyFill="1" applyBorder="1" applyAlignment="1">
      <alignment horizontal="center"/>
    </xf>
    <xf numFmtId="0" fontId="0" fillId="2" borderId="0" xfId="0" applyFill="1" applyAlignment="1">
      <alignment horizontal="center"/>
    </xf>
    <xf numFmtId="172" fontId="0" fillId="2" borderId="0" xfId="0" applyNumberFormat="1" applyFill="1" applyAlignment="1">
      <alignment horizontal="left"/>
    </xf>
    <xf numFmtId="9" fontId="0" fillId="2" borderId="1" xfId="1" applyFont="1" applyFill="1" applyBorder="1" applyAlignment="1">
      <alignment horizontal="center"/>
    </xf>
    <xf numFmtId="0" fontId="0" fillId="3" borderId="1" xfId="0" applyFill="1" applyBorder="1"/>
    <xf numFmtId="0" fontId="0" fillId="2" borderId="0" xfId="0" applyFill="1" applyAlignment="1">
      <alignment horizontal="center" wrapText="1"/>
    </xf>
    <xf numFmtId="0" fontId="0" fillId="2" borderId="0" xfId="0" applyFill="1" applyAlignment="1">
      <alignment horizontal="right"/>
    </xf>
    <xf numFmtId="0" fontId="6" fillId="2" borderId="0" xfId="0" applyFont="1" applyFill="1" applyAlignment="1">
      <alignment horizontal="left"/>
    </xf>
    <xf numFmtId="0" fontId="0" fillId="2" borderId="0" xfId="0" applyFill="1" applyAlignment="1">
      <alignment horizontal="left"/>
    </xf>
    <xf numFmtId="2" fontId="0" fillId="2" borderId="0" xfId="0" applyNumberFormat="1" applyFill="1" applyAlignment="1">
      <alignment horizontal="left"/>
    </xf>
    <xf numFmtId="173" fontId="0" fillId="2" borderId="0" xfId="0" applyNumberFormat="1" applyFill="1" applyAlignment="1">
      <alignment horizontal="left"/>
    </xf>
    <xf numFmtId="0" fontId="0" fillId="2" borderId="0" xfId="0" quotePrefix="1" applyFill="1" applyAlignment="1">
      <alignment horizontal="left"/>
    </xf>
    <xf numFmtId="0" fontId="0" fillId="2" borderId="0" xfId="0" applyFill="1" applyAlignment="1">
      <alignment horizontal="center" vertical="center" wrapText="1"/>
    </xf>
    <xf numFmtId="0" fontId="2" fillId="2" borderId="3" xfId="2" applyFont="1" applyFill="1" applyBorder="1" applyAlignment="1">
      <alignment horizontal="center" vertical="center" wrapText="1"/>
    </xf>
    <xf numFmtId="0" fontId="2" fillId="2" borderId="3" xfId="2" applyFont="1" applyFill="1" applyBorder="1" applyAlignment="1">
      <alignment horizontal="center" vertical="center"/>
    </xf>
    <xf numFmtId="0" fontId="2" fillId="2" borderId="5" xfId="2" applyFont="1" applyFill="1" applyBorder="1" applyAlignment="1">
      <alignment horizontal="center" vertical="center"/>
    </xf>
    <xf numFmtId="0" fontId="2" fillId="2" borderId="0" xfId="2" applyFont="1" applyFill="1" applyBorder="1" applyAlignment="1">
      <alignment horizontal="center" vertical="center"/>
    </xf>
    <xf numFmtId="0" fontId="2" fillId="2" borderId="7" xfId="2" applyFont="1" applyFill="1" applyBorder="1" applyAlignment="1">
      <alignment horizontal="center" vertical="center"/>
    </xf>
    <xf numFmtId="0" fontId="2" fillId="2" borderId="6" xfId="2" applyFont="1" applyFill="1" applyBorder="1" applyAlignment="1">
      <alignment horizontal="center" vertical="center"/>
    </xf>
    <xf numFmtId="0" fontId="2" fillId="2" borderId="9" xfId="2" applyFont="1" applyFill="1" applyBorder="1" applyAlignment="1">
      <alignment horizontal="center" vertical="center"/>
    </xf>
    <xf numFmtId="0" fontId="7" fillId="2" borderId="3" xfId="2" applyFill="1" applyBorder="1" applyAlignment="1">
      <alignment horizontal="center" vertical="center"/>
    </xf>
    <xf numFmtId="0" fontId="9" fillId="2" borderId="0" xfId="2" applyFont="1" applyFill="1" applyBorder="1" applyAlignment="1">
      <alignment horizontal="center" vertical="center"/>
    </xf>
    <xf numFmtId="0" fontId="7" fillId="2" borderId="6" xfId="2" applyFill="1" applyBorder="1" applyAlignment="1">
      <alignment horizontal="center" vertical="center"/>
    </xf>
    <xf numFmtId="0" fontId="0" fillId="2" borderId="26" xfId="0" applyFill="1" applyBorder="1" applyAlignment="1">
      <alignment horizontal="right" vertical="center"/>
    </xf>
    <xf numFmtId="0" fontId="15" fillId="2" borderId="28" xfId="2" applyFont="1" applyFill="1" applyBorder="1" applyAlignment="1">
      <alignment horizontal="center" vertical="center"/>
    </xf>
    <xf numFmtId="0" fontId="15" fillId="2" borderId="0" xfId="2" applyFont="1" applyFill="1" applyBorder="1" applyAlignment="1">
      <alignment horizontal="center" vertical="center"/>
    </xf>
    <xf numFmtId="0" fontId="15" fillId="2" borderId="0" xfId="2" applyFont="1" applyFill="1" applyBorder="1" applyAlignment="1">
      <alignment vertical="center"/>
    </xf>
    <xf numFmtId="0" fontId="15" fillId="2" borderId="29" xfId="2" applyFont="1" applyFill="1" applyBorder="1" applyAlignment="1">
      <alignment vertical="center"/>
    </xf>
    <xf numFmtId="183" fontId="0" fillId="2" borderId="0" xfId="1" applyNumberFormat="1" applyFont="1" applyFill="1"/>
    <xf numFmtId="182" fontId="7" fillId="2" borderId="27" xfId="2" applyNumberFormat="1" applyFill="1" applyBorder="1" applyAlignment="1">
      <alignment horizontal="left" vertical="center"/>
    </xf>
    <xf numFmtId="183" fontId="0" fillId="2" borderId="1" xfId="1" applyNumberFormat="1" applyFont="1" applyFill="1" applyBorder="1" applyAlignment="1">
      <alignment horizontal="center" vertical="center"/>
    </xf>
    <xf numFmtId="183" fontId="0" fillId="2" borderId="10" xfId="1" applyNumberFormat="1" applyFont="1" applyFill="1" applyBorder="1" applyAlignment="1">
      <alignment horizontal="center" vertical="center"/>
    </xf>
    <xf numFmtId="0" fontId="10" fillId="2" borderId="17" xfId="2" applyFont="1" applyFill="1" applyBorder="1" applyAlignment="1">
      <alignment horizontal="center" vertical="center"/>
    </xf>
    <xf numFmtId="0" fontId="10" fillId="2" borderId="18" xfId="2" applyFont="1" applyFill="1" applyBorder="1" applyAlignment="1">
      <alignment horizontal="center" vertical="center"/>
    </xf>
    <xf numFmtId="0" fontId="0" fillId="2" borderId="0" xfId="0" applyFill="1" applyBorder="1"/>
    <xf numFmtId="0" fontId="10" fillId="2" borderId="18" xfId="2" applyFont="1" applyFill="1" applyBorder="1" applyAlignment="1">
      <alignment horizontal="center" vertical="center" wrapText="1"/>
    </xf>
    <xf numFmtId="0" fontId="15" fillId="2" borderId="30" xfId="2" applyFont="1" applyFill="1" applyBorder="1" applyAlignment="1">
      <alignment horizontal="center" vertical="center"/>
    </xf>
    <xf numFmtId="0" fontId="15" fillId="2" borderId="31" xfId="2" applyFont="1" applyFill="1" applyBorder="1" applyAlignment="1">
      <alignment horizontal="center" vertical="center"/>
    </xf>
    <xf numFmtId="0" fontId="15" fillId="2" borderId="32" xfId="2" applyFont="1" applyFill="1" applyBorder="1" applyAlignment="1">
      <alignment horizontal="center" vertical="center"/>
    </xf>
    <xf numFmtId="0" fontId="15" fillId="2" borderId="0" xfId="2" applyFont="1" applyFill="1" applyBorder="1" applyAlignment="1">
      <alignment horizontal="center" vertical="center" wrapText="1"/>
    </xf>
  </cellXfs>
  <cellStyles count="3">
    <cellStyle name="Normal" xfId="0" builtinId="0"/>
    <cellStyle name="Normal 2" xfId="2" xr:uid="{A6923360-235E-4649-9076-F4D68A164EC6}"/>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fr-FR"/>
              <a:t>PROCTOR</a:t>
            </a:r>
          </a:p>
        </c:rich>
      </c:tx>
      <c:layout>
        <c:manualLayout>
          <c:xMode val="edge"/>
          <c:yMode val="edge"/>
          <c:x val="0.40728476821192056"/>
          <c:y val="3.6912751677852351E-2"/>
        </c:manualLayout>
      </c:layout>
      <c:overlay val="0"/>
      <c:spPr>
        <a:noFill/>
        <a:ln w="25400">
          <a:noFill/>
        </a:ln>
      </c:spPr>
    </c:title>
    <c:autoTitleDeleted val="0"/>
    <c:plotArea>
      <c:layout>
        <c:manualLayout>
          <c:layoutTarget val="inner"/>
          <c:xMode val="edge"/>
          <c:yMode val="edge"/>
          <c:x val="0.22847682119205298"/>
          <c:y val="0.19798690158822749"/>
          <c:w val="0.72847682119205293"/>
          <c:h val="0.56040360280057611"/>
        </c:manualLayout>
      </c:layout>
      <c:lineChart>
        <c:grouping val="standard"/>
        <c:varyColors val="0"/>
        <c:ser>
          <c:idx val="0"/>
          <c:order val="0"/>
          <c:tx>
            <c:strRef>
              <c:f>[1]B5!$B$17</c:f>
              <c:strCache>
                <c:ptCount val="1"/>
                <c:pt idx="0">
                  <c:v>g opm</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[1]B5!$C$16:$K$16</c:f>
              <c:numCache>
                <c:formatCode>General</c:formatCode>
                <c:ptCount val="9"/>
                <c:pt idx="0">
                  <c:v>13.7</c:v>
                </c:pt>
                <c:pt idx="1">
                  <c:v>14</c:v>
                </c:pt>
                <c:pt idx="2">
                  <c:v>14.6</c:v>
                </c:pt>
                <c:pt idx="3">
                  <c:v>15.6</c:v>
                </c:pt>
                <c:pt idx="4">
                  <c:v>16</c:v>
                </c:pt>
                <c:pt idx="5">
                  <c:v>18.2</c:v>
                </c:pt>
              </c:numCache>
            </c:numRef>
          </c:cat>
          <c:val>
            <c:numRef>
              <c:f>[1]B5!$C$17:$K$17</c:f>
              <c:numCache>
                <c:formatCode>General</c:formatCode>
                <c:ptCount val="9"/>
                <c:pt idx="0">
                  <c:v>1.81</c:v>
                </c:pt>
                <c:pt idx="1">
                  <c:v>1.85</c:v>
                </c:pt>
                <c:pt idx="2">
                  <c:v>1.86</c:v>
                </c:pt>
                <c:pt idx="3">
                  <c:v>1.87</c:v>
                </c:pt>
                <c:pt idx="4">
                  <c:v>1.86</c:v>
                </c:pt>
                <c:pt idx="5">
                  <c:v>1.79</c:v>
                </c:pt>
              </c:numCache>
            </c:numRef>
          </c:val>
          <c:smooth val="0"/>
          <c:extLst>
            <c:ext xmlns:c16="http://schemas.microsoft.com/office/drawing/2014/chart" uri="{C3380CC4-5D6E-409C-BE32-E72D297353CC}">
              <c16:uniqueId val="{00000000-CB80-44E2-98C2-C004B1D1B360}"/>
            </c:ext>
          </c:extLst>
        </c:ser>
        <c:dLbls>
          <c:showLegendKey val="0"/>
          <c:showVal val="0"/>
          <c:showCatName val="0"/>
          <c:showSerName val="0"/>
          <c:showPercent val="0"/>
          <c:showBubbleSize val="0"/>
        </c:dLbls>
        <c:marker val="1"/>
        <c:smooth val="0"/>
        <c:axId val="1294389551"/>
        <c:axId val="1"/>
      </c:lineChart>
      <c:catAx>
        <c:axId val="1294389551"/>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fr-FR"/>
                  <a:t>Teneur en eau</a:t>
                </a:r>
              </a:p>
            </c:rich>
          </c:tx>
          <c:layout>
            <c:manualLayout>
              <c:xMode val="edge"/>
              <c:yMode val="edge"/>
              <c:x val="0.45033112582781459"/>
              <c:y val="0.8791960400923037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fr-FR"/>
                  <a:t>Densité sèche</a:t>
                </a:r>
              </a:p>
            </c:rich>
          </c:tx>
          <c:layout>
            <c:manualLayout>
              <c:xMode val="edge"/>
              <c:yMode val="edge"/>
              <c:x val="5.2980132450331126E-2"/>
              <c:y val="0.3355711744085680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fr-FR"/>
          </a:p>
        </c:txPr>
        <c:crossAx val="1294389551"/>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horizontalDpi="-3" verticalDpi="-3"/>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fr-FR"/>
              <a:t>IPI</a:t>
            </a:r>
          </a:p>
        </c:rich>
      </c:tx>
      <c:layout>
        <c:manualLayout>
          <c:xMode val="edge"/>
          <c:yMode val="edge"/>
          <c:x val="0.46864825065183685"/>
          <c:y val="3.678929765886288E-2"/>
        </c:manualLayout>
      </c:layout>
      <c:overlay val="0"/>
      <c:spPr>
        <a:noFill/>
        <a:ln w="25400">
          <a:noFill/>
        </a:ln>
      </c:spPr>
    </c:title>
    <c:autoTitleDeleted val="0"/>
    <c:plotArea>
      <c:layout>
        <c:manualLayout>
          <c:layoutTarget val="inner"/>
          <c:xMode val="edge"/>
          <c:yMode val="edge"/>
          <c:x val="0.19802044019582882"/>
          <c:y val="0.20401337792642141"/>
          <c:w val="0.75907835408401048"/>
          <c:h val="0.58862876254180607"/>
        </c:manualLayout>
      </c:layout>
      <c:lineChart>
        <c:grouping val="standard"/>
        <c:varyColors val="0"/>
        <c:ser>
          <c:idx val="0"/>
          <c:order val="0"/>
          <c:tx>
            <c:strRef>
              <c:f>[1]B5!$B$18</c:f>
              <c:strCache>
                <c:ptCount val="1"/>
                <c:pt idx="0">
                  <c:v>IPI</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[1]B5!$C$16:$K$16</c:f>
              <c:numCache>
                <c:formatCode>General</c:formatCode>
                <c:ptCount val="9"/>
                <c:pt idx="0">
                  <c:v>13.7</c:v>
                </c:pt>
                <c:pt idx="1">
                  <c:v>14</c:v>
                </c:pt>
                <c:pt idx="2">
                  <c:v>14.6</c:v>
                </c:pt>
                <c:pt idx="3">
                  <c:v>15.6</c:v>
                </c:pt>
                <c:pt idx="4">
                  <c:v>16</c:v>
                </c:pt>
                <c:pt idx="5">
                  <c:v>18.2</c:v>
                </c:pt>
              </c:numCache>
            </c:numRef>
          </c:cat>
          <c:val>
            <c:numRef>
              <c:f>[1]B5!$C$18:$K$18</c:f>
              <c:numCache>
                <c:formatCode>General</c:formatCode>
                <c:ptCount val="9"/>
                <c:pt idx="0">
                  <c:v>20</c:v>
                </c:pt>
                <c:pt idx="1">
                  <c:v>15</c:v>
                </c:pt>
                <c:pt idx="2">
                  <c:v>11</c:v>
                </c:pt>
                <c:pt idx="3">
                  <c:v>10</c:v>
                </c:pt>
                <c:pt idx="4">
                  <c:v>8</c:v>
                </c:pt>
                <c:pt idx="5">
                  <c:v>6</c:v>
                </c:pt>
              </c:numCache>
            </c:numRef>
          </c:val>
          <c:smooth val="0"/>
          <c:extLst>
            <c:ext xmlns:c16="http://schemas.microsoft.com/office/drawing/2014/chart" uri="{C3380CC4-5D6E-409C-BE32-E72D297353CC}">
              <c16:uniqueId val="{00000000-5AF9-4B9E-A36C-2D5D41D97695}"/>
            </c:ext>
          </c:extLst>
        </c:ser>
        <c:dLbls>
          <c:showLegendKey val="0"/>
          <c:showVal val="0"/>
          <c:showCatName val="0"/>
          <c:showSerName val="0"/>
          <c:showPercent val="0"/>
          <c:showBubbleSize val="0"/>
        </c:dLbls>
        <c:marker val="1"/>
        <c:smooth val="0"/>
        <c:axId val="1294391151"/>
        <c:axId val="1"/>
      </c:lineChart>
      <c:catAx>
        <c:axId val="1294391151"/>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fr-FR"/>
                  <a:t>Teneur en eau</a:t>
                </a:r>
              </a:p>
            </c:rich>
          </c:tx>
          <c:layout>
            <c:manualLayout>
              <c:xMode val="edge"/>
              <c:yMode val="edge"/>
              <c:x val="0.43564495032180384"/>
              <c:y val="0.8795986622073578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fr-FR"/>
                  <a:t>IPI</a:t>
                </a:r>
              </a:p>
            </c:rich>
          </c:tx>
          <c:layout>
            <c:manualLayout>
              <c:xMode val="edge"/>
              <c:yMode val="edge"/>
              <c:x val="5.2805280528052806E-2"/>
              <c:y val="0.468227424749163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fr-FR"/>
          </a:p>
        </c:txPr>
        <c:crossAx val="1294391151"/>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fr-FR"/>
              <a:t>PROCTOR</a:t>
            </a:r>
          </a:p>
        </c:rich>
      </c:tx>
      <c:layout>
        <c:manualLayout>
          <c:xMode val="edge"/>
          <c:yMode val="edge"/>
          <c:x val="0.40728476821192056"/>
          <c:y val="3.6912751677852351E-2"/>
        </c:manualLayout>
      </c:layout>
      <c:overlay val="0"/>
      <c:spPr>
        <a:noFill/>
        <a:ln w="25400">
          <a:noFill/>
        </a:ln>
      </c:spPr>
    </c:title>
    <c:autoTitleDeleted val="0"/>
    <c:plotArea>
      <c:layout>
        <c:manualLayout>
          <c:layoutTarget val="inner"/>
          <c:xMode val="edge"/>
          <c:yMode val="edge"/>
          <c:x val="0.2251655629139073"/>
          <c:y val="0.19798690158822749"/>
          <c:w val="0.73178807947019864"/>
          <c:h val="0.55369218240775486"/>
        </c:manualLayout>
      </c:layout>
      <c:lineChart>
        <c:grouping val="standard"/>
        <c:varyColors val="0"/>
        <c:ser>
          <c:idx val="0"/>
          <c:order val="0"/>
          <c:tx>
            <c:strRef>
              <c:f>[1]C1B4!$B$17</c:f>
              <c:strCache>
                <c:ptCount val="1"/>
                <c:pt idx="0">
                  <c:v>g opm</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[1]C1B4!$C$16:$K$16</c:f>
              <c:numCache>
                <c:formatCode>General</c:formatCode>
                <c:ptCount val="9"/>
                <c:pt idx="0">
                  <c:v>10.4</c:v>
                </c:pt>
                <c:pt idx="1">
                  <c:v>10.7</c:v>
                </c:pt>
                <c:pt idx="2">
                  <c:v>11.1</c:v>
                </c:pt>
                <c:pt idx="3">
                  <c:v>12.5</c:v>
                </c:pt>
                <c:pt idx="4">
                  <c:v>14.1</c:v>
                </c:pt>
                <c:pt idx="5">
                  <c:v>15.8</c:v>
                </c:pt>
              </c:numCache>
            </c:numRef>
          </c:cat>
          <c:val>
            <c:numRef>
              <c:f>[1]C1B4!$C$17:$K$17</c:f>
              <c:numCache>
                <c:formatCode>General</c:formatCode>
                <c:ptCount val="9"/>
                <c:pt idx="0">
                  <c:v>1.81</c:v>
                </c:pt>
                <c:pt idx="1">
                  <c:v>1.83</c:v>
                </c:pt>
                <c:pt idx="2">
                  <c:v>1.84</c:v>
                </c:pt>
                <c:pt idx="3">
                  <c:v>1.83</c:v>
                </c:pt>
                <c:pt idx="4">
                  <c:v>1.81</c:v>
                </c:pt>
                <c:pt idx="5">
                  <c:v>1.75</c:v>
                </c:pt>
              </c:numCache>
            </c:numRef>
          </c:val>
          <c:smooth val="0"/>
          <c:extLst>
            <c:ext xmlns:c16="http://schemas.microsoft.com/office/drawing/2014/chart" uri="{C3380CC4-5D6E-409C-BE32-E72D297353CC}">
              <c16:uniqueId val="{00000000-0AF8-440E-BF52-11ACC44A3F0A}"/>
            </c:ext>
          </c:extLst>
        </c:ser>
        <c:dLbls>
          <c:showLegendKey val="0"/>
          <c:showVal val="0"/>
          <c:showCatName val="0"/>
          <c:showSerName val="0"/>
          <c:showPercent val="0"/>
          <c:showBubbleSize val="0"/>
        </c:dLbls>
        <c:marker val="1"/>
        <c:smooth val="0"/>
        <c:axId val="1465768671"/>
        <c:axId val="1"/>
      </c:lineChart>
      <c:catAx>
        <c:axId val="1465768671"/>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fr-FR"/>
                  <a:t>Teneur en eau</a:t>
                </a:r>
              </a:p>
            </c:rich>
          </c:tx>
          <c:layout>
            <c:manualLayout>
              <c:xMode val="edge"/>
              <c:yMode val="edge"/>
              <c:x val="0.44701986754966888"/>
              <c:y val="0.8791960400923037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fr-FR"/>
                  <a:t>Densité sèche</a:t>
                </a:r>
              </a:p>
            </c:rich>
          </c:tx>
          <c:layout>
            <c:manualLayout>
              <c:xMode val="edge"/>
              <c:yMode val="edge"/>
              <c:x val="5.2980132450331126E-2"/>
              <c:y val="0.318792298613679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fr-FR"/>
          </a:p>
        </c:txPr>
        <c:crossAx val="1465768671"/>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horizontalDpi="-3" verticalDpi="-3"/>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fr-FR"/>
              <a:t>IPI</a:t>
            </a:r>
          </a:p>
        </c:rich>
      </c:tx>
      <c:layout>
        <c:manualLayout>
          <c:xMode val="edge"/>
          <c:yMode val="edge"/>
          <c:x val="0.46864825065183685"/>
          <c:y val="3.678929765886288E-2"/>
        </c:manualLayout>
      </c:layout>
      <c:overlay val="0"/>
      <c:spPr>
        <a:noFill/>
        <a:ln w="25400">
          <a:noFill/>
        </a:ln>
      </c:spPr>
    </c:title>
    <c:autoTitleDeleted val="0"/>
    <c:plotArea>
      <c:layout>
        <c:manualLayout>
          <c:layoutTarget val="inner"/>
          <c:xMode val="edge"/>
          <c:yMode val="edge"/>
          <c:x val="0.19472009952589833"/>
          <c:y val="0.20401337792642141"/>
          <c:w val="0.76237869475394093"/>
          <c:h val="0.58862876254180607"/>
        </c:manualLayout>
      </c:layout>
      <c:lineChart>
        <c:grouping val="standard"/>
        <c:varyColors val="0"/>
        <c:ser>
          <c:idx val="0"/>
          <c:order val="0"/>
          <c:tx>
            <c:strRef>
              <c:f>[1]C1B4!$B$18</c:f>
              <c:strCache>
                <c:ptCount val="1"/>
                <c:pt idx="0">
                  <c:v>IPI</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[1]C1B4!$C$16:$K$16</c:f>
              <c:numCache>
                <c:formatCode>General</c:formatCode>
                <c:ptCount val="9"/>
                <c:pt idx="0">
                  <c:v>10.4</c:v>
                </c:pt>
                <c:pt idx="1">
                  <c:v>10.7</c:v>
                </c:pt>
                <c:pt idx="2">
                  <c:v>11.1</c:v>
                </c:pt>
                <c:pt idx="3">
                  <c:v>12.5</c:v>
                </c:pt>
                <c:pt idx="4">
                  <c:v>14.1</c:v>
                </c:pt>
                <c:pt idx="5">
                  <c:v>15.8</c:v>
                </c:pt>
              </c:numCache>
            </c:numRef>
          </c:cat>
          <c:val>
            <c:numRef>
              <c:f>[1]C1B4!$C$18:$K$18</c:f>
              <c:numCache>
                <c:formatCode>General</c:formatCode>
                <c:ptCount val="9"/>
                <c:pt idx="0">
                  <c:v>30</c:v>
                </c:pt>
                <c:pt idx="1">
                  <c:v>25</c:v>
                </c:pt>
                <c:pt idx="2">
                  <c:v>20</c:v>
                </c:pt>
                <c:pt idx="3">
                  <c:v>17</c:v>
                </c:pt>
                <c:pt idx="4">
                  <c:v>9</c:v>
                </c:pt>
                <c:pt idx="5">
                  <c:v>4</c:v>
                </c:pt>
              </c:numCache>
            </c:numRef>
          </c:val>
          <c:smooth val="0"/>
          <c:extLst>
            <c:ext xmlns:c16="http://schemas.microsoft.com/office/drawing/2014/chart" uri="{C3380CC4-5D6E-409C-BE32-E72D297353CC}">
              <c16:uniqueId val="{00000000-733E-47EB-AB71-F4DB5E3A3478}"/>
            </c:ext>
          </c:extLst>
        </c:ser>
        <c:dLbls>
          <c:showLegendKey val="0"/>
          <c:showVal val="0"/>
          <c:showCatName val="0"/>
          <c:showSerName val="0"/>
          <c:showPercent val="0"/>
          <c:showBubbleSize val="0"/>
        </c:dLbls>
        <c:marker val="1"/>
        <c:smooth val="0"/>
        <c:axId val="1465774671"/>
        <c:axId val="1"/>
      </c:lineChart>
      <c:catAx>
        <c:axId val="1465774671"/>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fr-FR"/>
                  <a:t>Teneur en eau</a:t>
                </a:r>
              </a:p>
            </c:rich>
          </c:tx>
          <c:layout>
            <c:manualLayout>
              <c:xMode val="edge"/>
              <c:yMode val="edge"/>
              <c:x val="0.43234462028880055"/>
              <c:y val="0.8795986622073578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fr-FR"/>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fr-FR"/>
                  <a:t>IPI</a:t>
                </a:r>
              </a:p>
            </c:rich>
          </c:tx>
          <c:layout>
            <c:manualLayout>
              <c:xMode val="edge"/>
              <c:yMode val="edge"/>
              <c:x val="5.2805280528052806E-2"/>
              <c:y val="0.4648829431438127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fr-FR"/>
          </a:p>
        </c:txPr>
        <c:crossAx val="1465774671"/>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144780</xdr:colOff>
      <xdr:row>21</xdr:row>
      <xdr:rowOff>99060</xdr:rowOff>
    </xdr:from>
    <xdr:to>
      <xdr:col>4</xdr:col>
      <xdr:colOff>129540</xdr:colOff>
      <xdr:row>39</xdr:row>
      <xdr:rowOff>22860</xdr:rowOff>
    </xdr:to>
    <xdr:graphicFrame macro="">
      <xdr:nvGraphicFramePr>
        <xdr:cNvPr id="2" name="Graphique 1">
          <a:extLst>
            <a:ext uri="{FF2B5EF4-FFF2-40B4-BE49-F238E27FC236}">
              <a16:creationId xmlns:a16="http://schemas.microsoft.com/office/drawing/2014/main" id="{1D07A6C0-46BF-47AE-B939-AA22D878F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403860</xdr:colOff>
      <xdr:row>21</xdr:row>
      <xdr:rowOff>121920</xdr:rowOff>
    </xdr:from>
    <xdr:to>
      <xdr:col>11</xdr:col>
      <xdr:colOff>358140</xdr:colOff>
      <xdr:row>39</xdr:row>
      <xdr:rowOff>45720</xdr:rowOff>
    </xdr:to>
    <xdr:graphicFrame macro="">
      <xdr:nvGraphicFramePr>
        <xdr:cNvPr id="3" name="Graphique 2">
          <a:extLst>
            <a:ext uri="{FF2B5EF4-FFF2-40B4-BE49-F238E27FC236}">
              <a16:creationId xmlns:a16="http://schemas.microsoft.com/office/drawing/2014/main" id="{141D77A7-5E6D-4278-9C9F-FE98C52A5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140804</xdr:colOff>
      <xdr:row>25</xdr:row>
      <xdr:rowOff>49696</xdr:rowOff>
    </xdr:from>
    <xdr:to>
      <xdr:col>8</xdr:col>
      <xdr:colOff>140804</xdr:colOff>
      <xdr:row>35</xdr:row>
      <xdr:rowOff>124240</xdr:rowOff>
    </xdr:to>
    <xdr:cxnSp macro="">
      <xdr:nvCxnSpPr>
        <xdr:cNvPr id="5" name="Connecteur droit 4">
          <a:extLst>
            <a:ext uri="{FF2B5EF4-FFF2-40B4-BE49-F238E27FC236}">
              <a16:creationId xmlns:a16="http://schemas.microsoft.com/office/drawing/2014/main" id="{65A31AD5-995A-BAF0-D807-11843ABF6FDE}"/>
            </a:ext>
          </a:extLst>
        </xdr:cNvPr>
        <xdr:cNvCxnSpPr/>
      </xdr:nvCxnSpPr>
      <xdr:spPr>
        <a:xfrm flipV="1">
          <a:off x="4729369" y="4845326"/>
          <a:ext cx="0" cy="1979544"/>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293204</xdr:colOff>
      <xdr:row>25</xdr:row>
      <xdr:rowOff>0</xdr:rowOff>
    </xdr:from>
    <xdr:to>
      <xdr:col>1</xdr:col>
      <xdr:colOff>293204</xdr:colOff>
      <xdr:row>34</xdr:row>
      <xdr:rowOff>177248</xdr:rowOff>
    </xdr:to>
    <xdr:cxnSp macro="">
      <xdr:nvCxnSpPr>
        <xdr:cNvPr id="6" name="Connecteur droit 5">
          <a:extLst>
            <a:ext uri="{FF2B5EF4-FFF2-40B4-BE49-F238E27FC236}">
              <a16:creationId xmlns:a16="http://schemas.microsoft.com/office/drawing/2014/main" id="{FD826821-C927-4212-99AC-960931496536}"/>
            </a:ext>
          </a:extLst>
        </xdr:cNvPr>
        <xdr:cNvCxnSpPr/>
      </xdr:nvCxnSpPr>
      <xdr:spPr>
        <a:xfrm flipV="1">
          <a:off x="1626704" y="4795630"/>
          <a:ext cx="0" cy="1891748"/>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892476</xdr:colOff>
      <xdr:row>45</xdr:row>
      <xdr:rowOff>23630</xdr:rowOff>
    </xdr:from>
    <xdr:to>
      <xdr:col>15</xdr:col>
      <xdr:colOff>235107</xdr:colOff>
      <xdr:row>50</xdr:row>
      <xdr:rowOff>49695</xdr:rowOff>
    </xdr:to>
    <xdr:pic>
      <xdr:nvPicPr>
        <xdr:cNvPr id="9" name="Image 8">
          <a:extLst>
            <a:ext uri="{FF2B5EF4-FFF2-40B4-BE49-F238E27FC236}">
              <a16:creationId xmlns:a16="http://schemas.microsoft.com/office/drawing/2014/main" id="{55695684-E387-C383-68CF-C3E3D69E95A1}"/>
            </a:ext>
          </a:extLst>
        </xdr:cNvPr>
        <xdr:cNvPicPr>
          <a:picLocks noChangeAspect="1"/>
        </xdr:cNvPicPr>
      </xdr:nvPicPr>
      <xdr:blipFill>
        <a:blip xmlns:r="http://schemas.openxmlformats.org/officeDocument/2006/relationships" r:embed="rId3"/>
        <a:stretch>
          <a:fillRect/>
        </a:stretch>
      </xdr:blipFill>
      <xdr:spPr>
        <a:xfrm>
          <a:off x="4917824" y="8629260"/>
          <a:ext cx="5239848" cy="978565"/>
        </a:xfrm>
        <a:prstGeom prst="rect">
          <a:avLst/>
        </a:prstGeom>
      </xdr:spPr>
    </xdr:pic>
    <xdr:clientData/>
  </xdr:twoCellAnchor>
  <xdr:twoCellAnchor editAs="oneCell">
    <xdr:from>
      <xdr:col>6</xdr:col>
      <xdr:colOff>852523</xdr:colOff>
      <xdr:row>51</xdr:row>
      <xdr:rowOff>7326</xdr:rowOff>
    </xdr:from>
    <xdr:to>
      <xdr:col>15</xdr:col>
      <xdr:colOff>347093</xdr:colOff>
      <xdr:row>61</xdr:row>
      <xdr:rowOff>154692</xdr:rowOff>
    </xdr:to>
    <xdr:pic>
      <xdr:nvPicPr>
        <xdr:cNvPr id="10" name="Image 9">
          <a:extLst>
            <a:ext uri="{FF2B5EF4-FFF2-40B4-BE49-F238E27FC236}">
              <a16:creationId xmlns:a16="http://schemas.microsoft.com/office/drawing/2014/main" id="{C4A8EC7C-6E8A-D5A5-944E-220F6BA5965B}"/>
            </a:ext>
          </a:extLst>
        </xdr:cNvPr>
        <xdr:cNvPicPr>
          <a:picLocks noChangeAspect="1"/>
        </xdr:cNvPicPr>
      </xdr:nvPicPr>
      <xdr:blipFill>
        <a:blip xmlns:r="http://schemas.openxmlformats.org/officeDocument/2006/relationships" r:embed="rId4"/>
        <a:stretch>
          <a:fillRect/>
        </a:stretch>
      </xdr:blipFill>
      <xdr:spPr>
        <a:xfrm>
          <a:off x="4860350" y="9766788"/>
          <a:ext cx="5378089" cy="20523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144780</xdr:colOff>
      <xdr:row>21</xdr:row>
      <xdr:rowOff>99060</xdr:rowOff>
    </xdr:from>
    <xdr:to>
      <xdr:col>4</xdr:col>
      <xdr:colOff>129540</xdr:colOff>
      <xdr:row>39</xdr:row>
      <xdr:rowOff>22860</xdr:rowOff>
    </xdr:to>
    <xdr:graphicFrame macro="">
      <xdr:nvGraphicFramePr>
        <xdr:cNvPr id="2" name="Graphique 1">
          <a:extLst>
            <a:ext uri="{FF2B5EF4-FFF2-40B4-BE49-F238E27FC236}">
              <a16:creationId xmlns:a16="http://schemas.microsoft.com/office/drawing/2014/main" id="{F5982071-1841-458F-AA00-8A4F3DBA9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403860</xdr:colOff>
      <xdr:row>21</xdr:row>
      <xdr:rowOff>121920</xdr:rowOff>
    </xdr:from>
    <xdr:to>
      <xdr:col>11</xdr:col>
      <xdr:colOff>358140</xdr:colOff>
      <xdr:row>39</xdr:row>
      <xdr:rowOff>45720</xdr:rowOff>
    </xdr:to>
    <xdr:graphicFrame macro="">
      <xdr:nvGraphicFramePr>
        <xdr:cNvPr id="3" name="Graphique 2">
          <a:extLst>
            <a:ext uri="{FF2B5EF4-FFF2-40B4-BE49-F238E27FC236}">
              <a16:creationId xmlns:a16="http://schemas.microsoft.com/office/drawing/2014/main" id="{01DB7BFE-679E-43A0-BF89-0D69EFF7B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9526</xdr:colOff>
      <xdr:row>48</xdr:row>
      <xdr:rowOff>133351</xdr:rowOff>
    </xdr:from>
    <xdr:to>
      <xdr:col>10</xdr:col>
      <xdr:colOff>416633</xdr:colOff>
      <xdr:row>64</xdr:row>
      <xdr:rowOff>40823</xdr:rowOff>
    </xdr:to>
    <xdr:pic>
      <xdr:nvPicPr>
        <xdr:cNvPr id="4" name="Image 3">
          <a:extLst>
            <a:ext uri="{FF2B5EF4-FFF2-40B4-BE49-F238E27FC236}">
              <a16:creationId xmlns:a16="http://schemas.microsoft.com/office/drawing/2014/main" id="{7894B598-4B75-22AC-ABF7-D545914A564E}"/>
            </a:ext>
          </a:extLst>
        </xdr:cNvPr>
        <xdr:cNvPicPr>
          <a:picLocks noChangeAspect="1"/>
        </xdr:cNvPicPr>
      </xdr:nvPicPr>
      <xdr:blipFill>
        <a:blip xmlns:r="http://schemas.openxmlformats.org/officeDocument/2006/relationships" r:embed="rId3"/>
        <a:stretch>
          <a:fillRect/>
        </a:stretch>
      </xdr:blipFill>
      <xdr:spPr>
        <a:xfrm>
          <a:off x="2526847" y="9304565"/>
          <a:ext cx="3890536" cy="2955472"/>
        </a:xfrm>
        <a:prstGeom prst="rect">
          <a:avLst/>
        </a:prstGeom>
      </xdr:spPr>
    </xdr:pic>
    <xdr:clientData/>
  </xdr:twoCellAnchor>
  <xdr:twoCellAnchor editAs="oneCell">
    <xdr:from>
      <xdr:col>3</xdr:col>
      <xdr:colOff>12931</xdr:colOff>
      <xdr:row>64</xdr:row>
      <xdr:rowOff>111199</xdr:rowOff>
    </xdr:from>
    <xdr:to>
      <xdr:col>11</xdr:col>
      <xdr:colOff>78442</xdr:colOff>
      <xdr:row>72</xdr:row>
      <xdr:rowOff>35381</xdr:rowOff>
    </xdr:to>
    <xdr:pic>
      <xdr:nvPicPr>
        <xdr:cNvPr id="5" name="Image 4">
          <a:extLst>
            <a:ext uri="{FF2B5EF4-FFF2-40B4-BE49-F238E27FC236}">
              <a16:creationId xmlns:a16="http://schemas.microsoft.com/office/drawing/2014/main" id="{563CC143-310E-1ECC-FF94-C4160156A300}"/>
            </a:ext>
          </a:extLst>
        </xdr:cNvPr>
        <xdr:cNvPicPr>
          <a:picLocks noChangeAspect="1"/>
        </xdr:cNvPicPr>
      </xdr:nvPicPr>
      <xdr:blipFill>
        <a:blip xmlns:r="http://schemas.openxmlformats.org/officeDocument/2006/relationships" r:embed="rId4"/>
        <a:stretch>
          <a:fillRect/>
        </a:stretch>
      </xdr:blipFill>
      <xdr:spPr>
        <a:xfrm>
          <a:off x="2534255" y="12348023"/>
          <a:ext cx="3931540" cy="14481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38100</xdr:colOff>
      <xdr:row>1</xdr:row>
      <xdr:rowOff>28575</xdr:rowOff>
    </xdr:from>
    <xdr:to>
      <xdr:col>5</xdr:col>
      <xdr:colOff>251859</xdr:colOff>
      <xdr:row>8</xdr:row>
      <xdr:rowOff>76200</xdr:rowOff>
    </xdr:to>
    <xdr:pic>
      <xdr:nvPicPr>
        <xdr:cNvPr id="2" name="Image 1">
          <a:extLst>
            <a:ext uri="{FF2B5EF4-FFF2-40B4-BE49-F238E27FC236}">
              <a16:creationId xmlns:a16="http://schemas.microsoft.com/office/drawing/2014/main" id="{A1C33750-972C-A0A7-9ACE-CE86AC4BF3D3}"/>
            </a:ext>
          </a:extLst>
        </xdr:cNvPr>
        <xdr:cNvPicPr>
          <a:picLocks noChangeAspect="1"/>
        </xdr:cNvPicPr>
      </xdr:nvPicPr>
      <xdr:blipFill>
        <a:blip xmlns:r="http://schemas.openxmlformats.org/officeDocument/2006/relationships" r:embed="rId1"/>
        <a:stretch>
          <a:fillRect/>
        </a:stretch>
      </xdr:blipFill>
      <xdr:spPr>
        <a:xfrm>
          <a:off x="276225" y="219075"/>
          <a:ext cx="3471309" cy="1381125"/>
        </a:xfrm>
        <a:prstGeom prst="rect">
          <a:avLst/>
        </a:prstGeom>
      </xdr:spPr>
    </xdr:pic>
    <xdr:clientData/>
  </xdr:twoCellAnchor>
  <xdr:twoCellAnchor editAs="oneCell">
    <xdr:from>
      <xdr:col>3</xdr:col>
      <xdr:colOff>723900</xdr:colOff>
      <xdr:row>10</xdr:row>
      <xdr:rowOff>0</xdr:rowOff>
    </xdr:from>
    <xdr:to>
      <xdr:col>4</xdr:col>
      <xdr:colOff>685800</xdr:colOff>
      <xdr:row>13</xdr:row>
      <xdr:rowOff>170355</xdr:rowOff>
    </xdr:to>
    <xdr:pic>
      <xdr:nvPicPr>
        <xdr:cNvPr id="3" name="Image 2">
          <a:extLst>
            <a:ext uri="{FF2B5EF4-FFF2-40B4-BE49-F238E27FC236}">
              <a16:creationId xmlns:a16="http://schemas.microsoft.com/office/drawing/2014/main" id="{4FDBB27A-C272-7E69-E215-13185C276251}"/>
            </a:ext>
          </a:extLst>
        </xdr:cNvPr>
        <xdr:cNvPicPr>
          <a:picLocks noChangeAspect="1"/>
        </xdr:cNvPicPr>
      </xdr:nvPicPr>
      <xdr:blipFill>
        <a:blip xmlns:r="http://schemas.openxmlformats.org/officeDocument/2006/relationships" r:embed="rId2"/>
        <a:stretch>
          <a:fillRect/>
        </a:stretch>
      </xdr:blipFill>
      <xdr:spPr>
        <a:xfrm>
          <a:off x="2619375" y="1905000"/>
          <a:ext cx="800100" cy="741855"/>
        </a:xfrm>
        <a:prstGeom prst="rect">
          <a:avLst/>
        </a:prstGeom>
      </xdr:spPr>
    </xdr:pic>
    <xdr:clientData/>
  </xdr:twoCellAnchor>
  <xdr:twoCellAnchor editAs="oneCell">
    <xdr:from>
      <xdr:col>3</xdr:col>
      <xdr:colOff>704850</xdr:colOff>
      <xdr:row>15</xdr:row>
      <xdr:rowOff>9526</xdr:rowOff>
    </xdr:from>
    <xdr:to>
      <xdr:col>7</xdr:col>
      <xdr:colOff>435955</xdr:colOff>
      <xdr:row>22</xdr:row>
      <xdr:rowOff>95250</xdr:rowOff>
    </xdr:to>
    <xdr:pic>
      <xdr:nvPicPr>
        <xdr:cNvPr id="4" name="Image 3">
          <a:extLst>
            <a:ext uri="{FF2B5EF4-FFF2-40B4-BE49-F238E27FC236}">
              <a16:creationId xmlns:a16="http://schemas.microsoft.com/office/drawing/2014/main" id="{EAF30574-D5AC-5243-A58B-3EC6B0ADCA3C}"/>
            </a:ext>
          </a:extLst>
        </xdr:cNvPr>
        <xdr:cNvPicPr>
          <a:picLocks noChangeAspect="1"/>
        </xdr:cNvPicPr>
      </xdr:nvPicPr>
      <xdr:blipFill>
        <a:blip xmlns:r="http://schemas.openxmlformats.org/officeDocument/2006/relationships" r:embed="rId3"/>
        <a:stretch>
          <a:fillRect/>
        </a:stretch>
      </xdr:blipFill>
      <xdr:spPr>
        <a:xfrm>
          <a:off x="2600325" y="2867026"/>
          <a:ext cx="2855305" cy="14192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euille%20de%20calcul%20dans%20Sujet%20SAE%2022%20-%20Projet%20de%20voiries%20et%20de%20r&#233;seaux%20divers%20(VRD)%202024.DO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erge"/>
      <sheetName val="A2"/>
      <sheetName val="B5"/>
      <sheetName val="A3"/>
      <sheetName val="C1B4"/>
      <sheetName val="A2 (2)"/>
      <sheetName val="B5 (2)"/>
      <sheetName val="A3 (2)"/>
      <sheetName val="C1B4 (2)"/>
    </sheetNames>
    <sheetDataSet>
      <sheetData sheetId="0"/>
      <sheetData sheetId="1"/>
      <sheetData sheetId="2">
        <row r="16">
          <cell r="C16">
            <v>13.7</v>
          </cell>
          <cell r="D16">
            <v>14</v>
          </cell>
          <cell r="E16">
            <v>14.6</v>
          </cell>
          <cell r="F16">
            <v>15.6</v>
          </cell>
          <cell r="G16">
            <v>16</v>
          </cell>
          <cell r="H16">
            <v>18.2</v>
          </cell>
        </row>
        <row r="17">
          <cell r="B17" t="str">
            <v>g opm</v>
          </cell>
          <cell r="C17">
            <v>1.81</v>
          </cell>
          <cell r="D17">
            <v>1.85</v>
          </cell>
          <cell r="E17">
            <v>1.86</v>
          </cell>
          <cell r="F17">
            <v>1.87</v>
          </cell>
          <cell r="G17">
            <v>1.86</v>
          </cell>
          <cell r="H17">
            <v>1.79</v>
          </cell>
        </row>
        <row r="18">
          <cell r="B18" t="str">
            <v>IPI</v>
          </cell>
          <cell r="C18">
            <v>20</v>
          </cell>
          <cell r="D18">
            <v>15</v>
          </cell>
          <cell r="E18">
            <v>11</v>
          </cell>
          <cell r="F18">
            <v>10</v>
          </cell>
          <cell r="G18">
            <v>8</v>
          </cell>
          <cell r="H18">
            <v>6</v>
          </cell>
        </row>
      </sheetData>
      <sheetData sheetId="3"/>
      <sheetData sheetId="4">
        <row r="16">
          <cell r="C16">
            <v>10.4</v>
          </cell>
          <cell r="D16">
            <v>10.7</v>
          </cell>
          <cell r="E16">
            <v>11.1</v>
          </cell>
          <cell r="F16">
            <v>12.5</v>
          </cell>
          <cell r="G16">
            <v>14.1</v>
          </cell>
          <cell r="H16">
            <v>15.8</v>
          </cell>
        </row>
        <row r="17">
          <cell r="B17" t="str">
            <v>g opm</v>
          </cell>
          <cell r="C17">
            <v>1.81</v>
          </cell>
          <cell r="D17">
            <v>1.83</v>
          </cell>
          <cell r="E17">
            <v>1.84</v>
          </cell>
          <cell r="F17">
            <v>1.83</v>
          </cell>
          <cell r="G17">
            <v>1.81</v>
          </cell>
          <cell r="H17">
            <v>1.75</v>
          </cell>
        </row>
        <row r="18">
          <cell r="B18" t="str">
            <v>IPI</v>
          </cell>
          <cell r="C18">
            <v>30</v>
          </cell>
          <cell r="D18">
            <v>25</v>
          </cell>
          <cell r="E18">
            <v>20</v>
          </cell>
          <cell r="F18">
            <v>17</v>
          </cell>
          <cell r="G18">
            <v>9</v>
          </cell>
          <cell r="H18">
            <v>4</v>
          </cell>
        </row>
      </sheetData>
      <sheetData sheetId="5"/>
      <sheetData sheetId="6"/>
      <sheetData sheetId="7"/>
      <sheetData sheetId="8"/>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E2272-505A-42AF-BE10-EAC9B849C81E}">
  <dimension ref="A1:O72"/>
  <sheetViews>
    <sheetView topLeftCell="A42" zoomScale="115" zoomScaleNormal="115" workbookViewId="0">
      <selection activeCell="E75" sqref="E75"/>
    </sheetView>
  </sheetViews>
  <sheetFormatPr baseColWidth="10" defaultRowHeight="15" x14ac:dyDescent="0.25"/>
  <cols>
    <col min="1" max="1" width="20" style="2" bestFit="1" customWidth="1"/>
    <col min="2" max="2" width="12.85546875" style="2" customWidth="1"/>
    <col min="3" max="4" width="6.28515625" style="2" customWidth="1"/>
    <col min="5" max="5" width="8.42578125" style="2" customWidth="1"/>
    <col min="6" max="6" width="6.28515625" style="2" customWidth="1"/>
    <col min="7" max="7" width="17.42578125" style="2" bestFit="1" customWidth="1"/>
    <col min="8" max="11" width="6.28515625" style="2" customWidth="1"/>
    <col min="12" max="256" width="11.42578125" style="2"/>
    <col min="257" max="257" width="20" style="2" bestFit="1" customWidth="1"/>
    <col min="258" max="258" width="10.85546875" style="2" bestFit="1" customWidth="1"/>
    <col min="259" max="267" width="6.28515625" style="2" customWidth="1"/>
    <col min="268" max="512" width="11.42578125" style="2"/>
    <col min="513" max="513" width="20" style="2" bestFit="1" customWidth="1"/>
    <col min="514" max="514" width="10.85546875" style="2" bestFit="1" customWidth="1"/>
    <col min="515" max="523" width="6.28515625" style="2" customWidth="1"/>
    <col min="524" max="768" width="11.42578125" style="2"/>
    <col min="769" max="769" width="20" style="2" bestFit="1" customWidth="1"/>
    <col min="770" max="770" width="10.85546875" style="2" bestFit="1" customWidth="1"/>
    <col min="771" max="779" width="6.28515625" style="2" customWidth="1"/>
    <col min="780" max="1024" width="11.42578125" style="2"/>
    <col min="1025" max="1025" width="20" style="2" bestFit="1" customWidth="1"/>
    <col min="1026" max="1026" width="10.85546875" style="2" bestFit="1" customWidth="1"/>
    <col min="1027" max="1035" width="6.28515625" style="2" customWidth="1"/>
    <col min="1036" max="1280" width="11.42578125" style="2"/>
    <col min="1281" max="1281" width="20" style="2" bestFit="1" customWidth="1"/>
    <col min="1282" max="1282" width="10.85546875" style="2" bestFit="1" customWidth="1"/>
    <col min="1283" max="1291" width="6.28515625" style="2" customWidth="1"/>
    <col min="1292" max="1536" width="11.42578125" style="2"/>
    <col min="1537" max="1537" width="20" style="2" bestFit="1" customWidth="1"/>
    <col min="1538" max="1538" width="10.85546875" style="2" bestFit="1" customWidth="1"/>
    <col min="1539" max="1547" width="6.28515625" style="2" customWidth="1"/>
    <col min="1548" max="1792" width="11.42578125" style="2"/>
    <col min="1793" max="1793" width="20" style="2" bestFit="1" customWidth="1"/>
    <col min="1794" max="1794" width="10.85546875" style="2" bestFit="1" customWidth="1"/>
    <col min="1795" max="1803" width="6.28515625" style="2" customWidth="1"/>
    <col min="1804" max="2048" width="11.42578125" style="2"/>
    <col min="2049" max="2049" width="20" style="2" bestFit="1" customWidth="1"/>
    <col min="2050" max="2050" width="10.85546875" style="2" bestFit="1" customWidth="1"/>
    <col min="2051" max="2059" width="6.28515625" style="2" customWidth="1"/>
    <col min="2060" max="2304" width="11.42578125" style="2"/>
    <col min="2305" max="2305" width="20" style="2" bestFit="1" customWidth="1"/>
    <col min="2306" max="2306" width="10.85546875" style="2" bestFit="1" customWidth="1"/>
    <col min="2307" max="2315" width="6.28515625" style="2" customWidth="1"/>
    <col min="2316" max="2560" width="11.42578125" style="2"/>
    <col min="2561" max="2561" width="20" style="2" bestFit="1" customWidth="1"/>
    <col min="2562" max="2562" width="10.85546875" style="2" bestFit="1" customWidth="1"/>
    <col min="2563" max="2571" width="6.28515625" style="2" customWidth="1"/>
    <col min="2572" max="2816" width="11.42578125" style="2"/>
    <col min="2817" max="2817" width="20" style="2" bestFit="1" customWidth="1"/>
    <col min="2818" max="2818" width="10.85546875" style="2" bestFit="1" customWidth="1"/>
    <col min="2819" max="2827" width="6.28515625" style="2" customWidth="1"/>
    <col min="2828" max="3072" width="11.42578125" style="2"/>
    <col min="3073" max="3073" width="20" style="2" bestFit="1" customWidth="1"/>
    <col min="3074" max="3074" width="10.85546875" style="2" bestFit="1" customWidth="1"/>
    <col min="3075" max="3083" width="6.28515625" style="2" customWidth="1"/>
    <col min="3084" max="3328" width="11.42578125" style="2"/>
    <col min="3329" max="3329" width="20" style="2" bestFit="1" customWidth="1"/>
    <col min="3330" max="3330" width="10.85546875" style="2" bestFit="1" customWidth="1"/>
    <col min="3331" max="3339" width="6.28515625" style="2" customWidth="1"/>
    <col min="3340" max="3584" width="11.42578125" style="2"/>
    <col min="3585" max="3585" width="20" style="2" bestFit="1" customWidth="1"/>
    <col min="3586" max="3586" width="10.85546875" style="2" bestFit="1" customWidth="1"/>
    <col min="3587" max="3595" width="6.28515625" style="2" customWidth="1"/>
    <col min="3596" max="3840" width="11.42578125" style="2"/>
    <col min="3841" max="3841" width="20" style="2" bestFit="1" customWidth="1"/>
    <col min="3842" max="3842" width="10.85546875" style="2" bestFit="1" customWidth="1"/>
    <col min="3843" max="3851" width="6.28515625" style="2" customWidth="1"/>
    <col min="3852" max="4096" width="11.42578125" style="2"/>
    <col min="4097" max="4097" width="20" style="2" bestFit="1" customWidth="1"/>
    <col min="4098" max="4098" width="10.85546875" style="2" bestFit="1" customWidth="1"/>
    <col min="4099" max="4107" width="6.28515625" style="2" customWidth="1"/>
    <col min="4108" max="4352" width="11.42578125" style="2"/>
    <col min="4353" max="4353" width="20" style="2" bestFit="1" customWidth="1"/>
    <col min="4354" max="4354" width="10.85546875" style="2" bestFit="1" customWidth="1"/>
    <col min="4355" max="4363" width="6.28515625" style="2" customWidth="1"/>
    <col min="4364" max="4608" width="11.42578125" style="2"/>
    <col min="4609" max="4609" width="20" style="2" bestFit="1" customWidth="1"/>
    <col min="4610" max="4610" width="10.85546875" style="2" bestFit="1" customWidth="1"/>
    <col min="4611" max="4619" width="6.28515625" style="2" customWidth="1"/>
    <col min="4620" max="4864" width="11.42578125" style="2"/>
    <col min="4865" max="4865" width="20" style="2" bestFit="1" customWidth="1"/>
    <col min="4866" max="4866" width="10.85546875" style="2" bestFit="1" customWidth="1"/>
    <col min="4867" max="4875" width="6.28515625" style="2" customWidth="1"/>
    <col min="4876" max="5120" width="11.42578125" style="2"/>
    <col min="5121" max="5121" width="20" style="2" bestFit="1" customWidth="1"/>
    <col min="5122" max="5122" width="10.85546875" style="2" bestFit="1" customWidth="1"/>
    <col min="5123" max="5131" width="6.28515625" style="2" customWidth="1"/>
    <col min="5132" max="5376" width="11.42578125" style="2"/>
    <col min="5377" max="5377" width="20" style="2" bestFit="1" customWidth="1"/>
    <col min="5378" max="5378" width="10.85546875" style="2" bestFit="1" customWidth="1"/>
    <col min="5379" max="5387" width="6.28515625" style="2" customWidth="1"/>
    <col min="5388" max="5632" width="11.42578125" style="2"/>
    <col min="5633" max="5633" width="20" style="2" bestFit="1" customWidth="1"/>
    <col min="5634" max="5634" width="10.85546875" style="2" bestFit="1" customWidth="1"/>
    <col min="5635" max="5643" width="6.28515625" style="2" customWidth="1"/>
    <col min="5644" max="5888" width="11.42578125" style="2"/>
    <col min="5889" max="5889" width="20" style="2" bestFit="1" customWidth="1"/>
    <col min="5890" max="5890" width="10.85546875" style="2" bestFit="1" customWidth="1"/>
    <col min="5891" max="5899" width="6.28515625" style="2" customWidth="1"/>
    <col min="5900" max="6144" width="11.42578125" style="2"/>
    <col min="6145" max="6145" width="20" style="2" bestFit="1" customWidth="1"/>
    <col min="6146" max="6146" width="10.85546875" style="2" bestFit="1" customWidth="1"/>
    <col min="6147" max="6155" width="6.28515625" style="2" customWidth="1"/>
    <col min="6156" max="6400" width="11.42578125" style="2"/>
    <col min="6401" max="6401" width="20" style="2" bestFit="1" customWidth="1"/>
    <col min="6402" max="6402" width="10.85546875" style="2" bestFit="1" customWidth="1"/>
    <col min="6403" max="6411" width="6.28515625" style="2" customWidth="1"/>
    <col min="6412" max="6656" width="11.42578125" style="2"/>
    <col min="6657" max="6657" width="20" style="2" bestFit="1" customWidth="1"/>
    <col min="6658" max="6658" width="10.85546875" style="2" bestFit="1" customWidth="1"/>
    <col min="6659" max="6667" width="6.28515625" style="2" customWidth="1"/>
    <col min="6668" max="6912" width="11.42578125" style="2"/>
    <col min="6913" max="6913" width="20" style="2" bestFit="1" customWidth="1"/>
    <col min="6914" max="6914" width="10.85546875" style="2" bestFit="1" customWidth="1"/>
    <col min="6915" max="6923" width="6.28515625" style="2" customWidth="1"/>
    <col min="6924" max="7168" width="11.42578125" style="2"/>
    <col min="7169" max="7169" width="20" style="2" bestFit="1" customWidth="1"/>
    <col min="7170" max="7170" width="10.85546875" style="2" bestFit="1" customWidth="1"/>
    <col min="7171" max="7179" width="6.28515625" style="2" customWidth="1"/>
    <col min="7180" max="7424" width="11.42578125" style="2"/>
    <col min="7425" max="7425" width="20" style="2" bestFit="1" customWidth="1"/>
    <col min="7426" max="7426" width="10.85546875" style="2" bestFit="1" customWidth="1"/>
    <col min="7427" max="7435" width="6.28515625" style="2" customWidth="1"/>
    <col min="7436" max="7680" width="11.42578125" style="2"/>
    <col min="7681" max="7681" width="20" style="2" bestFit="1" customWidth="1"/>
    <col min="7682" max="7682" width="10.85546875" style="2" bestFit="1" customWidth="1"/>
    <col min="7683" max="7691" width="6.28515625" style="2" customWidth="1"/>
    <col min="7692" max="7936" width="11.42578125" style="2"/>
    <col min="7937" max="7937" width="20" style="2" bestFit="1" customWidth="1"/>
    <col min="7938" max="7938" width="10.85546875" style="2" bestFit="1" customWidth="1"/>
    <col min="7939" max="7947" width="6.28515625" style="2" customWidth="1"/>
    <col min="7948" max="8192" width="11.42578125" style="2"/>
    <col min="8193" max="8193" width="20" style="2" bestFit="1" customWidth="1"/>
    <col min="8194" max="8194" width="10.85546875" style="2" bestFit="1" customWidth="1"/>
    <col min="8195" max="8203" width="6.28515625" style="2" customWidth="1"/>
    <col min="8204" max="8448" width="11.42578125" style="2"/>
    <col min="8449" max="8449" width="20" style="2" bestFit="1" customWidth="1"/>
    <col min="8450" max="8450" width="10.85546875" style="2" bestFit="1" customWidth="1"/>
    <col min="8451" max="8459" width="6.28515625" style="2" customWidth="1"/>
    <col min="8460" max="8704" width="11.42578125" style="2"/>
    <col min="8705" max="8705" width="20" style="2" bestFit="1" customWidth="1"/>
    <col min="8706" max="8706" width="10.85546875" style="2" bestFit="1" customWidth="1"/>
    <col min="8707" max="8715" width="6.28515625" style="2" customWidth="1"/>
    <col min="8716" max="8960" width="11.42578125" style="2"/>
    <col min="8961" max="8961" width="20" style="2" bestFit="1" customWidth="1"/>
    <col min="8962" max="8962" width="10.85546875" style="2" bestFit="1" customWidth="1"/>
    <col min="8963" max="8971" width="6.28515625" style="2" customWidth="1"/>
    <col min="8972" max="9216" width="11.42578125" style="2"/>
    <col min="9217" max="9217" width="20" style="2" bestFit="1" customWidth="1"/>
    <col min="9218" max="9218" width="10.85546875" style="2" bestFit="1" customWidth="1"/>
    <col min="9219" max="9227" width="6.28515625" style="2" customWidth="1"/>
    <col min="9228" max="9472" width="11.42578125" style="2"/>
    <col min="9473" max="9473" width="20" style="2" bestFit="1" customWidth="1"/>
    <col min="9474" max="9474" width="10.85546875" style="2" bestFit="1" customWidth="1"/>
    <col min="9475" max="9483" width="6.28515625" style="2" customWidth="1"/>
    <col min="9484" max="9728" width="11.42578125" style="2"/>
    <col min="9729" max="9729" width="20" style="2" bestFit="1" customWidth="1"/>
    <col min="9730" max="9730" width="10.85546875" style="2" bestFit="1" customWidth="1"/>
    <col min="9731" max="9739" width="6.28515625" style="2" customWidth="1"/>
    <col min="9740" max="9984" width="11.42578125" style="2"/>
    <col min="9985" max="9985" width="20" style="2" bestFit="1" customWidth="1"/>
    <col min="9986" max="9986" width="10.85546875" style="2" bestFit="1" customWidth="1"/>
    <col min="9987" max="9995" width="6.28515625" style="2" customWidth="1"/>
    <col min="9996" max="10240" width="11.42578125" style="2"/>
    <col min="10241" max="10241" width="20" style="2" bestFit="1" customWidth="1"/>
    <col min="10242" max="10242" width="10.85546875" style="2" bestFit="1" customWidth="1"/>
    <col min="10243" max="10251" width="6.28515625" style="2" customWidth="1"/>
    <col min="10252" max="10496" width="11.42578125" style="2"/>
    <col min="10497" max="10497" width="20" style="2" bestFit="1" customWidth="1"/>
    <col min="10498" max="10498" width="10.85546875" style="2" bestFit="1" customWidth="1"/>
    <col min="10499" max="10507" width="6.28515625" style="2" customWidth="1"/>
    <col min="10508" max="10752" width="11.42578125" style="2"/>
    <col min="10753" max="10753" width="20" style="2" bestFit="1" customWidth="1"/>
    <col min="10754" max="10754" width="10.85546875" style="2" bestFit="1" customWidth="1"/>
    <col min="10755" max="10763" width="6.28515625" style="2" customWidth="1"/>
    <col min="10764" max="11008" width="11.42578125" style="2"/>
    <col min="11009" max="11009" width="20" style="2" bestFit="1" customWidth="1"/>
    <col min="11010" max="11010" width="10.85546875" style="2" bestFit="1" customWidth="1"/>
    <col min="11011" max="11019" width="6.28515625" style="2" customWidth="1"/>
    <col min="11020" max="11264" width="11.42578125" style="2"/>
    <col min="11265" max="11265" width="20" style="2" bestFit="1" customWidth="1"/>
    <col min="11266" max="11266" width="10.85546875" style="2" bestFit="1" customWidth="1"/>
    <col min="11267" max="11275" width="6.28515625" style="2" customWidth="1"/>
    <col min="11276" max="11520" width="11.42578125" style="2"/>
    <col min="11521" max="11521" width="20" style="2" bestFit="1" customWidth="1"/>
    <col min="11522" max="11522" width="10.85546875" style="2" bestFit="1" customWidth="1"/>
    <col min="11523" max="11531" width="6.28515625" style="2" customWidth="1"/>
    <col min="11532" max="11776" width="11.42578125" style="2"/>
    <col min="11777" max="11777" width="20" style="2" bestFit="1" customWidth="1"/>
    <col min="11778" max="11778" width="10.85546875" style="2" bestFit="1" customWidth="1"/>
    <col min="11779" max="11787" width="6.28515625" style="2" customWidth="1"/>
    <col min="11788" max="12032" width="11.42578125" style="2"/>
    <col min="12033" max="12033" width="20" style="2" bestFit="1" customWidth="1"/>
    <col min="12034" max="12034" width="10.85546875" style="2" bestFit="1" customWidth="1"/>
    <col min="12035" max="12043" width="6.28515625" style="2" customWidth="1"/>
    <col min="12044" max="12288" width="11.42578125" style="2"/>
    <col min="12289" max="12289" width="20" style="2" bestFit="1" customWidth="1"/>
    <col min="12290" max="12290" width="10.85546875" style="2" bestFit="1" customWidth="1"/>
    <col min="12291" max="12299" width="6.28515625" style="2" customWidth="1"/>
    <col min="12300" max="12544" width="11.42578125" style="2"/>
    <col min="12545" max="12545" width="20" style="2" bestFit="1" customWidth="1"/>
    <col min="12546" max="12546" width="10.85546875" style="2" bestFit="1" customWidth="1"/>
    <col min="12547" max="12555" width="6.28515625" style="2" customWidth="1"/>
    <col min="12556" max="12800" width="11.42578125" style="2"/>
    <col min="12801" max="12801" width="20" style="2" bestFit="1" customWidth="1"/>
    <col min="12802" max="12802" width="10.85546875" style="2" bestFit="1" customWidth="1"/>
    <col min="12803" max="12811" width="6.28515625" style="2" customWidth="1"/>
    <col min="12812" max="13056" width="11.42578125" style="2"/>
    <col min="13057" max="13057" width="20" style="2" bestFit="1" customWidth="1"/>
    <col min="13058" max="13058" width="10.85546875" style="2" bestFit="1" customWidth="1"/>
    <col min="13059" max="13067" width="6.28515625" style="2" customWidth="1"/>
    <col min="13068" max="13312" width="11.42578125" style="2"/>
    <col min="13313" max="13313" width="20" style="2" bestFit="1" customWidth="1"/>
    <col min="13314" max="13314" width="10.85546875" style="2" bestFit="1" customWidth="1"/>
    <col min="13315" max="13323" width="6.28515625" style="2" customWidth="1"/>
    <col min="13324" max="13568" width="11.42578125" style="2"/>
    <col min="13569" max="13569" width="20" style="2" bestFit="1" customWidth="1"/>
    <col min="13570" max="13570" width="10.85546875" style="2" bestFit="1" customWidth="1"/>
    <col min="13571" max="13579" width="6.28515625" style="2" customWidth="1"/>
    <col min="13580" max="13824" width="11.42578125" style="2"/>
    <col min="13825" max="13825" width="20" style="2" bestFit="1" customWidth="1"/>
    <col min="13826" max="13826" width="10.85546875" style="2" bestFit="1" customWidth="1"/>
    <col min="13827" max="13835" width="6.28515625" style="2" customWidth="1"/>
    <col min="13836" max="14080" width="11.42578125" style="2"/>
    <col min="14081" max="14081" width="20" style="2" bestFit="1" customWidth="1"/>
    <col min="14082" max="14082" width="10.85546875" style="2" bestFit="1" customWidth="1"/>
    <col min="14083" max="14091" width="6.28515625" style="2" customWidth="1"/>
    <col min="14092" max="14336" width="11.42578125" style="2"/>
    <col min="14337" max="14337" width="20" style="2" bestFit="1" customWidth="1"/>
    <col min="14338" max="14338" width="10.85546875" style="2" bestFit="1" customWidth="1"/>
    <col min="14339" max="14347" width="6.28515625" style="2" customWidth="1"/>
    <col min="14348" max="14592" width="11.42578125" style="2"/>
    <col min="14593" max="14593" width="20" style="2" bestFit="1" customWidth="1"/>
    <col min="14594" max="14594" width="10.85546875" style="2" bestFit="1" customWidth="1"/>
    <col min="14595" max="14603" width="6.28515625" style="2" customWidth="1"/>
    <col min="14604" max="14848" width="11.42578125" style="2"/>
    <col min="14849" max="14849" width="20" style="2" bestFit="1" customWidth="1"/>
    <col min="14850" max="14850" width="10.85546875" style="2" bestFit="1" customWidth="1"/>
    <col min="14851" max="14859" width="6.28515625" style="2" customWidth="1"/>
    <col min="14860" max="15104" width="11.42578125" style="2"/>
    <col min="15105" max="15105" width="20" style="2" bestFit="1" customWidth="1"/>
    <col min="15106" max="15106" width="10.85546875" style="2" bestFit="1" customWidth="1"/>
    <col min="15107" max="15115" width="6.28515625" style="2" customWidth="1"/>
    <col min="15116" max="15360" width="11.42578125" style="2"/>
    <col min="15361" max="15361" width="20" style="2" bestFit="1" customWidth="1"/>
    <col min="15362" max="15362" width="10.85546875" style="2" bestFit="1" customWidth="1"/>
    <col min="15363" max="15371" width="6.28515625" style="2" customWidth="1"/>
    <col min="15372" max="15616" width="11.42578125" style="2"/>
    <col min="15617" max="15617" width="20" style="2" bestFit="1" customWidth="1"/>
    <col min="15618" max="15618" width="10.85546875" style="2" bestFit="1" customWidth="1"/>
    <col min="15619" max="15627" width="6.28515625" style="2" customWidth="1"/>
    <col min="15628" max="15872" width="11.42578125" style="2"/>
    <col min="15873" max="15873" width="20" style="2" bestFit="1" customWidth="1"/>
    <col min="15874" max="15874" width="10.85546875" style="2" bestFit="1" customWidth="1"/>
    <col min="15875" max="15883" width="6.28515625" style="2" customWidth="1"/>
    <col min="15884" max="16128" width="11.42578125" style="2"/>
    <col min="16129" max="16129" width="20" style="2" bestFit="1" customWidth="1"/>
    <col min="16130" max="16130" width="10.85546875" style="2" bestFit="1" customWidth="1"/>
    <col min="16131" max="16139" width="6.28515625" style="2" customWidth="1"/>
    <col min="16140" max="16384" width="11.42578125" style="2"/>
  </cols>
  <sheetData>
    <row r="1" spans="1:11" x14ac:dyDescent="0.25">
      <c r="A1" s="1" t="s">
        <v>0</v>
      </c>
      <c r="B1" s="2" t="s">
        <v>1</v>
      </c>
    </row>
    <row r="2" spans="1:11" x14ac:dyDescent="0.25">
      <c r="A2" s="3" t="s">
        <v>2</v>
      </c>
      <c r="B2" s="4">
        <v>1</v>
      </c>
    </row>
    <row r="3" spans="1:11" x14ac:dyDescent="0.25">
      <c r="A3" s="1" t="s">
        <v>3</v>
      </c>
      <c r="C3" s="5" t="s">
        <v>4</v>
      </c>
      <c r="D3" s="5" t="s">
        <v>5</v>
      </c>
      <c r="E3" s="5" t="s">
        <v>6</v>
      </c>
    </row>
    <row r="4" spans="1:11" x14ac:dyDescent="0.25">
      <c r="A4" s="1" t="s">
        <v>7</v>
      </c>
      <c r="C4" s="5" t="s">
        <v>8</v>
      </c>
      <c r="D4" s="5" t="s">
        <v>9</v>
      </c>
      <c r="E4" s="5" t="s">
        <v>10</v>
      </c>
    </row>
    <row r="5" spans="1:11" x14ac:dyDescent="0.25">
      <c r="A5" s="1" t="s">
        <v>11</v>
      </c>
      <c r="B5" s="2" t="s">
        <v>12</v>
      </c>
    </row>
    <row r="6" spans="1:11" x14ac:dyDescent="0.25">
      <c r="A6" s="1" t="s">
        <v>13</v>
      </c>
      <c r="B6" s="2" t="s">
        <v>14</v>
      </c>
    </row>
    <row r="8" spans="1:11" x14ac:dyDescent="0.25">
      <c r="A8" s="6" t="s">
        <v>15</v>
      </c>
    </row>
    <row r="10" spans="1:11" x14ac:dyDescent="0.25">
      <c r="A10" s="2" t="s">
        <v>16</v>
      </c>
      <c r="H10" s="2" t="s">
        <v>17</v>
      </c>
    </row>
    <row r="11" spans="1:11" x14ac:dyDescent="0.25">
      <c r="C11" s="5" t="s">
        <v>90</v>
      </c>
      <c r="D11" s="5" t="s">
        <v>89</v>
      </c>
      <c r="E11" s="5" t="s">
        <v>88</v>
      </c>
      <c r="H11" s="5" t="s">
        <v>18</v>
      </c>
      <c r="I11" s="5" t="s">
        <v>19</v>
      </c>
      <c r="J11" s="5" t="s">
        <v>20</v>
      </c>
    </row>
    <row r="12" spans="1:11" x14ac:dyDescent="0.25">
      <c r="A12" s="1" t="s">
        <v>21</v>
      </c>
      <c r="B12" s="7">
        <v>20</v>
      </c>
      <c r="C12" s="5">
        <v>100</v>
      </c>
      <c r="D12" s="5">
        <v>79</v>
      </c>
      <c r="E12" s="61">
        <v>34</v>
      </c>
      <c r="H12" s="5"/>
      <c r="I12" s="5"/>
      <c r="J12" s="5"/>
    </row>
    <row r="14" spans="1:11" x14ac:dyDescent="0.25">
      <c r="A14" s="2" t="s">
        <v>22</v>
      </c>
      <c r="C14" s="5" t="s">
        <v>23</v>
      </c>
      <c r="D14" s="8">
        <v>0.9</v>
      </c>
    </row>
    <row r="16" spans="1:11" x14ac:dyDescent="0.25">
      <c r="A16" s="2" t="s">
        <v>24</v>
      </c>
      <c r="B16" s="8" t="s">
        <v>25</v>
      </c>
      <c r="C16" s="5">
        <v>13.7</v>
      </c>
      <c r="D16" s="5">
        <v>14</v>
      </c>
      <c r="E16" s="5">
        <v>14.6</v>
      </c>
      <c r="F16" s="61">
        <v>15.6</v>
      </c>
      <c r="G16" s="5">
        <v>16</v>
      </c>
      <c r="H16" s="5">
        <v>18.2</v>
      </c>
      <c r="I16" s="5"/>
      <c r="J16" s="5"/>
      <c r="K16" s="5"/>
    </row>
    <row r="17" spans="2:11" ht="16.5" x14ac:dyDescent="0.35">
      <c r="B17" s="9" t="s">
        <v>26</v>
      </c>
      <c r="C17" s="5">
        <v>1.81</v>
      </c>
      <c r="D17" s="5">
        <v>1.85</v>
      </c>
      <c r="E17" s="5">
        <v>1.86</v>
      </c>
      <c r="F17" s="61">
        <v>1.87</v>
      </c>
      <c r="G17" s="5">
        <v>1.86</v>
      </c>
      <c r="H17" s="5">
        <v>1.79</v>
      </c>
      <c r="I17" s="5"/>
      <c r="J17" s="5"/>
      <c r="K17" s="5"/>
    </row>
    <row r="18" spans="2:11" x14ac:dyDescent="0.25">
      <c r="B18" s="8" t="s">
        <v>27</v>
      </c>
      <c r="C18" s="5">
        <v>20</v>
      </c>
      <c r="D18" s="5">
        <v>15</v>
      </c>
      <c r="E18" s="5">
        <v>11</v>
      </c>
      <c r="F18" s="61">
        <v>10</v>
      </c>
      <c r="G18" s="5">
        <v>8</v>
      </c>
      <c r="H18" s="5">
        <v>6</v>
      </c>
      <c r="I18" s="5"/>
      <c r="J18" s="5"/>
      <c r="K18" s="5"/>
    </row>
    <row r="20" spans="2:11" ht="16.5" x14ac:dyDescent="0.35">
      <c r="D20" s="10" t="s">
        <v>28</v>
      </c>
      <c r="E20" s="10"/>
      <c r="F20" s="11" t="s">
        <v>26</v>
      </c>
      <c r="G20" s="11"/>
    </row>
    <row r="21" spans="2:11" x14ac:dyDescent="0.25">
      <c r="D21" s="10">
        <v>15.6</v>
      </c>
      <c r="E21" s="10"/>
      <c r="F21" s="10">
        <v>1.87</v>
      </c>
      <c r="G21" s="10"/>
    </row>
    <row r="42" spans="1:10" x14ac:dyDescent="0.25">
      <c r="A42" s="12" t="s">
        <v>29</v>
      </c>
      <c r="E42" s="12" t="s">
        <v>30</v>
      </c>
      <c r="I42" s="2">
        <v>2005</v>
      </c>
      <c r="J42" s="12" t="s">
        <v>31</v>
      </c>
    </row>
    <row r="43" spans="1:10" x14ac:dyDescent="0.25">
      <c r="E43" s="12" t="s">
        <v>32</v>
      </c>
      <c r="I43" s="2">
        <v>1750</v>
      </c>
      <c r="J43" s="12" t="s">
        <v>31</v>
      </c>
    </row>
    <row r="44" spans="1:10" x14ac:dyDescent="0.25">
      <c r="A44" s="2" t="s">
        <v>33</v>
      </c>
      <c r="C44" s="5" t="s">
        <v>92</v>
      </c>
      <c r="D44" s="13">
        <f>(I42-I43)/I43</f>
        <v>0.14571428571428571</v>
      </c>
    </row>
    <row r="46" spans="1:10" x14ac:dyDescent="0.25">
      <c r="C46" s="5" t="s">
        <v>27</v>
      </c>
      <c r="D46" s="5">
        <v>10</v>
      </c>
    </row>
    <row r="48" spans="1:10" x14ac:dyDescent="0.25">
      <c r="A48" s="8" t="s">
        <v>35</v>
      </c>
      <c r="B48" s="14" t="s">
        <v>102</v>
      </c>
      <c r="D48" s="62" t="s">
        <v>94</v>
      </c>
      <c r="E48" s="62" t="s">
        <v>91</v>
      </c>
      <c r="F48" s="1" t="s">
        <v>93</v>
      </c>
      <c r="G48" s="63">
        <f>14.6/15.6</f>
        <v>0.9358974358974359</v>
      </c>
    </row>
    <row r="50" spans="1:2" x14ac:dyDescent="0.25">
      <c r="A50" s="6" t="s">
        <v>36</v>
      </c>
    </row>
    <row r="52" spans="1:2" x14ac:dyDescent="0.25">
      <c r="A52" s="2" t="s">
        <v>37</v>
      </c>
    </row>
    <row r="53" spans="1:2" x14ac:dyDescent="0.25">
      <c r="A53" s="2" t="s">
        <v>38</v>
      </c>
    </row>
    <row r="54" spans="1:2" x14ac:dyDescent="0.25">
      <c r="A54" s="2" t="s">
        <v>39</v>
      </c>
    </row>
    <row r="55" spans="1:2" x14ac:dyDescent="0.25">
      <c r="A55" s="8" t="s">
        <v>35</v>
      </c>
      <c r="B55" s="14" t="s">
        <v>103</v>
      </c>
    </row>
    <row r="57" spans="1:2" x14ac:dyDescent="0.25">
      <c r="A57" s="6" t="s">
        <v>40</v>
      </c>
    </row>
    <row r="59" spans="1:2" x14ac:dyDescent="0.25">
      <c r="A59" s="8" t="s">
        <v>35</v>
      </c>
      <c r="B59" s="14" t="s">
        <v>104</v>
      </c>
    </row>
    <row r="66" spans="1:15" x14ac:dyDescent="0.25">
      <c r="A66" s="66" t="s">
        <v>105</v>
      </c>
      <c r="B66" s="66"/>
      <c r="C66" s="66"/>
      <c r="D66" s="66"/>
      <c r="E66" s="66"/>
      <c r="F66" s="66"/>
      <c r="G66" s="66"/>
      <c r="H66" s="66"/>
      <c r="I66" s="66"/>
      <c r="J66" s="66"/>
      <c r="K66" s="66"/>
      <c r="L66" s="66"/>
      <c r="M66" s="66"/>
      <c r="N66" s="66"/>
      <c r="O66" s="66"/>
    </row>
    <row r="67" spans="1:15" x14ac:dyDescent="0.25">
      <c r="A67" s="66"/>
      <c r="B67" s="66"/>
      <c r="C67" s="66"/>
      <c r="D67" s="66"/>
      <c r="E67" s="66"/>
      <c r="F67" s="66"/>
      <c r="G67" s="66"/>
      <c r="H67" s="66"/>
      <c r="I67" s="66"/>
      <c r="J67" s="66"/>
      <c r="K67" s="66"/>
      <c r="L67" s="66"/>
      <c r="M67" s="66"/>
      <c r="N67" s="66"/>
      <c r="O67" s="66"/>
    </row>
    <row r="69" spans="1:15" ht="15" customHeight="1" x14ac:dyDescent="0.25">
      <c r="A69" s="73" t="s">
        <v>110</v>
      </c>
      <c r="B69" s="73"/>
      <c r="C69" s="73"/>
      <c r="D69" s="73"/>
      <c r="E69" s="73"/>
      <c r="F69" s="73"/>
      <c r="G69" s="73"/>
      <c r="H69" s="73"/>
      <c r="I69" s="73"/>
      <c r="J69" s="73"/>
      <c r="K69" s="73"/>
      <c r="L69" s="73"/>
      <c r="M69" s="73"/>
      <c r="N69" s="73"/>
      <c r="O69" s="73"/>
    </row>
    <row r="70" spans="1:15" x14ac:dyDescent="0.25">
      <c r="A70" s="73"/>
      <c r="B70" s="73"/>
      <c r="C70" s="73"/>
      <c r="D70" s="73"/>
      <c r="E70" s="73"/>
      <c r="F70" s="73"/>
      <c r="G70" s="73"/>
      <c r="H70" s="73"/>
      <c r="I70" s="73"/>
      <c r="J70" s="73"/>
      <c r="K70" s="73"/>
      <c r="L70" s="73"/>
      <c r="M70" s="73"/>
      <c r="N70" s="73"/>
      <c r="O70" s="73"/>
    </row>
    <row r="71" spans="1:15" x14ac:dyDescent="0.25">
      <c r="A71" s="73"/>
      <c r="B71" s="73"/>
      <c r="C71" s="73"/>
      <c r="D71" s="73"/>
      <c r="E71" s="73"/>
      <c r="F71" s="73"/>
      <c r="G71" s="73"/>
      <c r="H71" s="73"/>
      <c r="I71" s="73"/>
      <c r="J71" s="73"/>
      <c r="K71" s="73"/>
      <c r="L71" s="73"/>
      <c r="M71" s="73"/>
      <c r="N71" s="73"/>
      <c r="O71" s="73"/>
    </row>
    <row r="72" spans="1:15" x14ac:dyDescent="0.25">
      <c r="A72" s="73"/>
      <c r="B72" s="73"/>
      <c r="C72" s="73"/>
      <c r="D72" s="73"/>
      <c r="E72" s="73"/>
      <c r="F72" s="73"/>
      <c r="G72" s="73"/>
      <c r="H72" s="73"/>
      <c r="I72" s="73"/>
      <c r="J72" s="73"/>
      <c r="K72" s="73"/>
      <c r="L72" s="73"/>
      <c r="M72" s="73"/>
      <c r="N72" s="73"/>
      <c r="O72" s="73"/>
    </row>
  </sheetData>
  <mergeCells count="6">
    <mergeCell ref="A69:O72"/>
    <mergeCell ref="D20:E20"/>
    <mergeCell ref="F20:G20"/>
    <mergeCell ref="D21:E21"/>
    <mergeCell ref="F21:G21"/>
    <mergeCell ref="A66:O6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B758E-BA63-42B0-9FD4-F4F481FD7F40}">
  <dimension ref="A1:K59"/>
  <sheetViews>
    <sheetView topLeftCell="A39" zoomScale="85" zoomScaleNormal="85" workbookViewId="0">
      <selection activeCell="B59" sqref="B59"/>
    </sheetView>
  </sheetViews>
  <sheetFormatPr baseColWidth="10" defaultRowHeight="15" x14ac:dyDescent="0.25"/>
  <cols>
    <col min="1" max="1" width="20" style="2" bestFit="1" customWidth="1"/>
    <col min="2" max="2" width="10.85546875" style="2" bestFit="1" customWidth="1"/>
    <col min="3" max="3" width="6.85546875" style="2" bestFit="1" customWidth="1"/>
    <col min="4" max="4" width="7.5703125" style="2" customWidth="1"/>
    <col min="5" max="5" width="8.42578125" style="2" customWidth="1"/>
    <col min="6" max="6" width="6.28515625" style="2" customWidth="1"/>
    <col min="7" max="7" width="11" style="2" customWidth="1"/>
    <col min="8" max="11" width="6.28515625" style="2" customWidth="1"/>
    <col min="12" max="256" width="11.42578125" style="2"/>
    <col min="257" max="257" width="20" style="2" bestFit="1" customWidth="1"/>
    <col min="258" max="258" width="10.85546875" style="2" bestFit="1" customWidth="1"/>
    <col min="259" max="267" width="6.28515625" style="2" customWidth="1"/>
    <col min="268" max="512" width="11.42578125" style="2"/>
    <col min="513" max="513" width="20" style="2" bestFit="1" customWidth="1"/>
    <col min="514" max="514" width="10.85546875" style="2" bestFit="1" customWidth="1"/>
    <col min="515" max="523" width="6.28515625" style="2" customWidth="1"/>
    <col min="524" max="768" width="11.42578125" style="2"/>
    <col min="769" max="769" width="20" style="2" bestFit="1" customWidth="1"/>
    <col min="770" max="770" width="10.85546875" style="2" bestFit="1" customWidth="1"/>
    <col min="771" max="779" width="6.28515625" style="2" customWidth="1"/>
    <col min="780" max="1024" width="11.42578125" style="2"/>
    <col min="1025" max="1025" width="20" style="2" bestFit="1" customWidth="1"/>
    <col min="1026" max="1026" width="10.85546875" style="2" bestFit="1" customWidth="1"/>
    <col min="1027" max="1035" width="6.28515625" style="2" customWidth="1"/>
    <col min="1036" max="1280" width="11.42578125" style="2"/>
    <col min="1281" max="1281" width="20" style="2" bestFit="1" customWidth="1"/>
    <col min="1282" max="1282" width="10.85546875" style="2" bestFit="1" customWidth="1"/>
    <col min="1283" max="1291" width="6.28515625" style="2" customWidth="1"/>
    <col min="1292" max="1536" width="11.42578125" style="2"/>
    <col min="1537" max="1537" width="20" style="2" bestFit="1" customWidth="1"/>
    <col min="1538" max="1538" width="10.85546875" style="2" bestFit="1" customWidth="1"/>
    <col min="1539" max="1547" width="6.28515625" style="2" customWidth="1"/>
    <col min="1548" max="1792" width="11.42578125" style="2"/>
    <col min="1793" max="1793" width="20" style="2" bestFit="1" customWidth="1"/>
    <col min="1794" max="1794" width="10.85546875" style="2" bestFit="1" customWidth="1"/>
    <col min="1795" max="1803" width="6.28515625" style="2" customWidth="1"/>
    <col min="1804" max="2048" width="11.42578125" style="2"/>
    <col min="2049" max="2049" width="20" style="2" bestFit="1" customWidth="1"/>
    <col min="2050" max="2050" width="10.85546875" style="2" bestFit="1" customWidth="1"/>
    <col min="2051" max="2059" width="6.28515625" style="2" customWidth="1"/>
    <col min="2060" max="2304" width="11.42578125" style="2"/>
    <col min="2305" max="2305" width="20" style="2" bestFit="1" customWidth="1"/>
    <col min="2306" max="2306" width="10.85546875" style="2" bestFit="1" customWidth="1"/>
    <col min="2307" max="2315" width="6.28515625" style="2" customWidth="1"/>
    <col min="2316" max="2560" width="11.42578125" style="2"/>
    <col min="2561" max="2561" width="20" style="2" bestFit="1" customWidth="1"/>
    <col min="2562" max="2562" width="10.85546875" style="2" bestFit="1" customWidth="1"/>
    <col min="2563" max="2571" width="6.28515625" style="2" customWidth="1"/>
    <col min="2572" max="2816" width="11.42578125" style="2"/>
    <col min="2817" max="2817" width="20" style="2" bestFit="1" customWidth="1"/>
    <col min="2818" max="2818" width="10.85546875" style="2" bestFit="1" customWidth="1"/>
    <col min="2819" max="2827" width="6.28515625" style="2" customWidth="1"/>
    <col min="2828" max="3072" width="11.42578125" style="2"/>
    <col min="3073" max="3073" width="20" style="2" bestFit="1" customWidth="1"/>
    <col min="3074" max="3074" width="10.85546875" style="2" bestFit="1" customWidth="1"/>
    <col min="3075" max="3083" width="6.28515625" style="2" customWidth="1"/>
    <col min="3084" max="3328" width="11.42578125" style="2"/>
    <col min="3329" max="3329" width="20" style="2" bestFit="1" customWidth="1"/>
    <col min="3330" max="3330" width="10.85546875" style="2" bestFit="1" customWidth="1"/>
    <col min="3331" max="3339" width="6.28515625" style="2" customWidth="1"/>
    <col min="3340" max="3584" width="11.42578125" style="2"/>
    <col min="3585" max="3585" width="20" style="2" bestFit="1" customWidth="1"/>
    <col min="3586" max="3586" width="10.85546875" style="2" bestFit="1" customWidth="1"/>
    <col min="3587" max="3595" width="6.28515625" style="2" customWidth="1"/>
    <col min="3596" max="3840" width="11.42578125" style="2"/>
    <col min="3841" max="3841" width="20" style="2" bestFit="1" customWidth="1"/>
    <col min="3842" max="3842" width="10.85546875" style="2" bestFit="1" customWidth="1"/>
    <col min="3843" max="3851" width="6.28515625" style="2" customWidth="1"/>
    <col min="3852" max="4096" width="11.42578125" style="2"/>
    <col min="4097" max="4097" width="20" style="2" bestFit="1" customWidth="1"/>
    <col min="4098" max="4098" width="10.85546875" style="2" bestFit="1" customWidth="1"/>
    <col min="4099" max="4107" width="6.28515625" style="2" customWidth="1"/>
    <col min="4108" max="4352" width="11.42578125" style="2"/>
    <col min="4353" max="4353" width="20" style="2" bestFit="1" customWidth="1"/>
    <col min="4354" max="4354" width="10.85546875" style="2" bestFit="1" customWidth="1"/>
    <col min="4355" max="4363" width="6.28515625" style="2" customWidth="1"/>
    <col min="4364" max="4608" width="11.42578125" style="2"/>
    <col min="4609" max="4609" width="20" style="2" bestFit="1" customWidth="1"/>
    <col min="4610" max="4610" width="10.85546875" style="2" bestFit="1" customWidth="1"/>
    <col min="4611" max="4619" width="6.28515625" style="2" customWidth="1"/>
    <col min="4620" max="4864" width="11.42578125" style="2"/>
    <col min="4865" max="4865" width="20" style="2" bestFit="1" customWidth="1"/>
    <col min="4866" max="4866" width="10.85546875" style="2" bestFit="1" customWidth="1"/>
    <col min="4867" max="4875" width="6.28515625" style="2" customWidth="1"/>
    <col min="4876" max="5120" width="11.42578125" style="2"/>
    <col min="5121" max="5121" width="20" style="2" bestFit="1" customWidth="1"/>
    <col min="5122" max="5122" width="10.85546875" style="2" bestFit="1" customWidth="1"/>
    <col min="5123" max="5131" width="6.28515625" style="2" customWidth="1"/>
    <col min="5132" max="5376" width="11.42578125" style="2"/>
    <col min="5377" max="5377" width="20" style="2" bestFit="1" customWidth="1"/>
    <col min="5378" max="5378" width="10.85546875" style="2" bestFit="1" customWidth="1"/>
    <col min="5379" max="5387" width="6.28515625" style="2" customWidth="1"/>
    <col min="5388" max="5632" width="11.42578125" style="2"/>
    <col min="5633" max="5633" width="20" style="2" bestFit="1" customWidth="1"/>
    <col min="5634" max="5634" width="10.85546875" style="2" bestFit="1" customWidth="1"/>
    <col min="5635" max="5643" width="6.28515625" style="2" customWidth="1"/>
    <col min="5644" max="5888" width="11.42578125" style="2"/>
    <col min="5889" max="5889" width="20" style="2" bestFit="1" customWidth="1"/>
    <col min="5890" max="5890" width="10.85546875" style="2" bestFit="1" customWidth="1"/>
    <col min="5891" max="5899" width="6.28515625" style="2" customWidth="1"/>
    <col min="5900" max="6144" width="11.42578125" style="2"/>
    <col min="6145" max="6145" width="20" style="2" bestFit="1" customWidth="1"/>
    <col min="6146" max="6146" width="10.85546875" style="2" bestFit="1" customWidth="1"/>
    <col min="6147" max="6155" width="6.28515625" style="2" customWidth="1"/>
    <col min="6156" max="6400" width="11.42578125" style="2"/>
    <col min="6401" max="6401" width="20" style="2" bestFit="1" customWidth="1"/>
    <col min="6402" max="6402" width="10.85546875" style="2" bestFit="1" customWidth="1"/>
    <col min="6403" max="6411" width="6.28515625" style="2" customWidth="1"/>
    <col min="6412" max="6656" width="11.42578125" style="2"/>
    <col min="6657" max="6657" width="20" style="2" bestFit="1" customWidth="1"/>
    <col min="6658" max="6658" width="10.85546875" style="2" bestFit="1" customWidth="1"/>
    <col min="6659" max="6667" width="6.28515625" style="2" customWidth="1"/>
    <col min="6668" max="6912" width="11.42578125" style="2"/>
    <col min="6913" max="6913" width="20" style="2" bestFit="1" customWidth="1"/>
    <col min="6914" max="6914" width="10.85546875" style="2" bestFit="1" customWidth="1"/>
    <col min="6915" max="6923" width="6.28515625" style="2" customWidth="1"/>
    <col min="6924" max="7168" width="11.42578125" style="2"/>
    <col min="7169" max="7169" width="20" style="2" bestFit="1" customWidth="1"/>
    <col min="7170" max="7170" width="10.85546875" style="2" bestFit="1" customWidth="1"/>
    <col min="7171" max="7179" width="6.28515625" style="2" customWidth="1"/>
    <col min="7180" max="7424" width="11.42578125" style="2"/>
    <col min="7425" max="7425" width="20" style="2" bestFit="1" customWidth="1"/>
    <col min="7426" max="7426" width="10.85546875" style="2" bestFit="1" customWidth="1"/>
    <col min="7427" max="7435" width="6.28515625" style="2" customWidth="1"/>
    <col min="7436" max="7680" width="11.42578125" style="2"/>
    <col min="7681" max="7681" width="20" style="2" bestFit="1" customWidth="1"/>
    <col min="7682" max="7682" width="10.85546875" style="2" bestFit="1" customWidth="1"/>
    <col min="7683" max="7691" width="6.28515625" style="2" customWidth="1"/>
    <col min="7692" max="7936" width="11.42578125" style="2"/>
    <col min="7937" max="7937" width="20" style="2" bestFit="1" customWidth="1"/>
    <col min="7938" max="7938" width="10.85546875" style="2" bestFit="1" customWidth="1"/>
    <col min="7939" max="7947" width="6.28515625" style="2" customWidth="1"/>
    <col min="7948" max="8192" width="11.42578125" style="2"/>
    <col min="8193" max="8193" width="20" style="2" bestFit="1" customWidth="1"/>
    <col min="8194" max="8194" width="10.85546875" style="2" bestFit="1" customWidth="1"/>
    <col min="8195" max="8203" width="6.28515625" style="2" customWidth="1"/>
    <col min="8204" max="8448" width="11.42578125" style="2"/>
    <col min="8449" max="8449" width="20" style="2" bestFit="1" customWidth="1"/>
    <col min="8450" max="8450" width="10.85546875" style="2" bestFit="1" customWidth="1"/>
    <col min="8451" max="8459" width="6.28515625" style="2" customWidth="1"/>
    <col min="8460" max="8704" width="11.42578125" style="2"/>
    <col min="8705" max="8705" width="20" style="2" bestFit="1" customWidth="1"/>
    <col min="8706" max="8706" width="10.85546875" style="2" bestFit="1" customWidth="1"/>
    <col min="8707" max="8715" width="6.28515625" style="2" customWidth="1"/>
    <col min="8716" max="8960" width="11.42578125" style="2"/>
    <col min="8961" max="8961" width="20" style="2" bestFit="1" customWidth="1"/>
    <col min="8962" max="8962" width="10.85546875" style="2" bestFit="1" customWidth="1"/>
    <col min="8963" max="8971" width="6.28515625" style="2" customWidth="1"/>
    <col min="8972" max="9216" width="11.42578125" style="2"/>
    <col min="9217" max="9217" width="20" style="2" bestFit="1" customWidth="1"/>
    <col min="9218" max="9218" width="10.85546875" style="2" bestFit="1" customWidth="1"/>
    <col min="9219" max="9227" width="6.28515625" style="2" customWidth="1"/>
    <col min="9228" max="9472" width="11.42578125" style="2"/>
    <col min="9473" max="9473" width="20" style="2" bestFit="1" customWidth="1"/>
    <col min="9474" max="9474" width="10.85546875" style="2" bestFit="1" customWidth="1"/>
    <col min="9475" max="9483" width="6.28515625" style="2" customWidth="1"/>
    <col min="9484" max="9728" width="11.42578125" style="2"/>
    <col min="9729" max="9729" width="20" style="2" bestFit="1" customWidth="1"/>
    <col min="9730" max="9730" width="10.85546875" style="2" bestFit="1" customWidth="1"/>
    <col min="9731" max="9739" width="6.28515625" style="2" customWidth="1"/>
    <col min="9740" max="9984" width="11.42578125" style="2"/>
    <col min="9985" max="9985" width="20" style="2" bestFit="1" customWidth="1"/>
    <col min="9986" max="9986" width="10.85546875" style="2" bestFit="1" customWidth="1"/>
    <col min="9987" max="9995" width="6.28515625" style="2" customWidth="1"/>
    <col min="9996" max="10240" width="11.42578125" style="2"/>
    <col min="10241" max="10241" width="20" style="2" bestFit="1" customWidth="1"/>
    <col min="10242" max="10242" width="10.85546875" style="2" bestFit="1" customWidth="1"/>
    <col min="10243" max="10251" width="6.28515625" style="2" customWidth="1"/>
    <col min="10252" max="10496" width="11.42578125" style="2"/>
    <col min="10497" max="10497" width="20" style="2" bestFit="1" customWidth="1"/>
    <col min="10498" max="10498" width="10.85546875" style="2" bestFit="1" customWidth="1"/>
    <col min="10499" max="10507" width="6.28515625" style="2" customWidth="1"/>
    <col min="10508" max="10752" width="11.42578125" style="2"/>
    <col min="10753" max="10753" width="20" style="2" bestFit="1" customWidth="1"/>
    <col min="10754" max="10754" width="10.85546875" style="2" bestFit="1" customWidth="1"/>
    <col min="10755" max="10763" width="6.28515625" style="2" customWidth="1"/>
    <col min="10764" max="11008" width="11.42578125" style="2"/>
    <col min="11009" max="11009" width="20" style="2" bestFit="1" customWidth="1"/>
    <col min="11010" max="11010" width="10.85546875" style="2" bestFit="1" customWidth="1"/>
    <col min="11011" max="11019" width="6.28515625" style="2" customWidth="1"/>
    <col min="11020" max="11264" width="11.42578125" style="2"/>
    <col min="11265" max="11265" width="20" style="2" bestFit="1" customWidth="1"/>
    <col min="11266" max="11266" width="10.85546875" style="2" bestFit="1" customWidth="1"/>
    <col min="11267" max="11275" width="6.28515625" style="2" customWidth="1"/>
    <col min="11276" max="11520" width="11.42578125" style="2"/>
    <col min="11521" max="11521" width="20" style="2" bestFit="1" customWidth="1"/>
    <col min="11522" max="11522" width="10.85546875" style="2" bestFit="1" customWidth="1"/>
    <col min="11523" max="11531" width="6.28515625" style="2" customWidth="1"/>
    <col min="11532" max="11776" width="11.42578125" style="2"/>
    <col min="11777" max="11777" width="20" style="2" bestFit="1" customWidth="1"/>
    <col min="11778" max="11778" width="10.85546875" style="2" bestFit="1" customWidth="1"/>
    <col min="11779" max="11787" width="6.28515625" style="2" customWidth="1"/>
    <col min="11788" max="12032" width="11.42578125" style="2"/>
    <col min="12033" max="12033" width="20" style="2" bestFit="1" customWidth="1"/>
    <col min="12034" max="12034" width="10.85546875" style="2" bestFit="1" customWidth="1"/>
    <col min="12035" max="12043" width="6.28515625" style="2" customWidth="1"/>
    <col min="12044" max="12288" width="11.42578125" style="2"/>
    <col min="12289" max="12289" width="20" style="2" bestFit="1" customWidth="1"/>
    <col min="12290" max="12290" width="10.85546875" style="2" bestFit="1" customWidth="1"/>
    <col min="12291" max="12299" width="6.28515625" style="2" customWidth="1"/>
    <col min="12300" max="12544" width="11.42578125" style="2"/>
    <col min="12545" max="12545" width="20" style="2" bestFit="1" customWidth="1"/>
    <col min="12546" max="12546" width="10.85546875" style="2" bestFit="1" customWidth="1"/>
    <col min="12547" max="12555" width="6.28515625" style="2" customWidth="1"/>
    <col min="12556" max="12800" width="11.42578125" style="2"/>
    <col min="12801" max="12801" width="20" style="2" bestFit="1" customWidth="1"/>
    <col min="12802" max="12802" width="10.85546875" style="2" bestFit="1" customWidth="1"/>
    <col min="12803" max="12811" width="6.28515625" style="2" customWidth="1"/>
    <col min="12812" max="13056" width="11.42578125" style="2"/>
    <col min="13057" max="13057" width="20" style="2" bestFit="1" customWidth="1"/>
    <col min="13058" max="13058" width="10.85546875" style="2" bestFit="1" customWidth="1"/>
    <col min="13059" max="13067" width="6.28515625" style="2" customWidth="1"/>
    <col min="13068" max="13312" width="11.42578125" style="2"/>
    <col min="13313" max="13313" width="20" style="2" bestFit="1" customWidth="1"/>
    <col min="13314" max="13314" width="10.85546875" style="2" bestFit="1" customWidth="1"/>
    <col min="13315" max="13323" width="6.28515625" style="2" customWidth="1"/>
    <col min="13324" max="13568" width="11.42578125" style="2"/>
    <col min="13569" max="13569" width="20" style="2" bestFit="1" customWidth="1"/>
    <col min="13570" max="13570" width="10.85546875" style="2" bestFit="1" customWidth="1"/>
    <col min="13571" max="13579" width="6.28515625" style="2" customWidth="1"/>
    <col min="13580" max="13824" width="11.42578125" style="2"/>
    <col min="13825" max="13825" width="20" style="2" bestFit="1" customWidth="1"/>
    <col min="13826" max="13826" width="10.85546875" style="2" bestFit="1" customWidth="1"/>
    <col min="13827" max="13835" width="6.28515625" style="2" customWidth="1"/>
    <col min="13836" max="14080" width="11.42578125" style="2"/>
    <col min="14081" max="14081" width="20" style="2" bestFit="1" customWidth="1"/>
    <col min="14082" max="14082" width="10.85546875" style="2" bestFit="1" customWidth="1"/>
    <col min="14083" max="14091" width="6.28515625" style="2" customWidth="1"/>
    <col min="14092" max="14336" width="11.42578125" style="2"/>
    <col min="14337" max="14337" width="20" style="2" bestFit="1" customWidth="1"/>
    <col min="14338" max="14338" width="10.85546875" style="2" bestFit="1" customWidth="1"/>
    <col min="14339" max="14347" width="6.28515625" style="2" customWidth="1"/>
    <col min="14348" max="14592" width="11.42578125" style="2"/>
    <col min="14593" max="14593" width="20" style="2" bestFit="1" customWidth="1"/>
    <col min="14594" max="14594" width="10.85546875" style="2" bestFit="1" customWidth="1"/>
    <col min="14595" max="14603" width="6.28515625" style="2" customWidth="1"/>
    <col min="14604" max="14848" width="11.42578125" style="2"/>
    <col min="14849" max="14849" width="20" style="2" bestFit="1" customWidth="1"/>
    <col min="14850" max="14850" width="10.85546875" style="2" bestFit="1" customWidth="1"/>
    <col min="14851" max="14859" width="6.28515625" style="2" customWidth="1"/>
    <col min="14860" max="15104" width="11.42578125" style="2"/>
    <col min="15105" max="15105" width="20" style="2" bestFit="1" customWidth="1"/>
    <col min="15106" max="15106" width="10.85546875" style="2" bestFit="1" customWidth="1"/>
    <col min="15107" max="15115" width="6.28515625" style="2" customWidth="1"/>
    <col min="15116" max="15360" width="11.42578125" style="2"/>
    <col min="15361" max="15361" width="20" style="2" bestFit="1" customWidth="1"/>
    <col min="15362" max="15362" width="10.85546875" style="2" bestFit="1" customWidth="1"/>
    <col min="15363" max="15371" width="6.28515625" style="2" customWidth="1"/>
    <col min="15372" max="15616" width="11.42578125" style="2"/>
    <col min="15617" max="15617" width="20" style="2" bestFit="1" customWidth="1"/>
    <col min="15618" max="15618" width="10.85546875" style="2" bestFit="1" customWidth="1"/>
    <col min="15619" max="15627" width="6.28515625" style="2" customWidth="1"/>
    <col min="15628" max="15872" width="11.42578125" style="2"/>
    <col min="15873" max="15873" width="20" style="2" bestFit="1" customWidth="1"/>
    <col min="15874" max="15874" width="10.85546875" style="2" bestFit="1" customWidth="1"/>
    <col min="15875" max="15883" width="6.28515625" style="2" customWidth="1"/>
    <col min="15884" max="16128" width="11.42578125" style="2"/>
    <col min="16129" max="16129" width="20" style="2" bestFit="1" customWidth="1"/>
    <col min="16130" max="16130" width="10.85546875" style="2" bestFit="1" customWidth="1"/>
    <col min="16131" max="16139" width="6.28515625" style="2" customWidth="1"/>
    <col min="16140" max="16384" width="11.42578125" style="2"/>
  </cols>
  <sheetData>
    <row r="1" spans="1:11" x14ac:dyDescent="0.25">
      <c r="A1" s="1" t="s">
        <v>0</v>
      </c>
      <c r="B1" s="12" t="s">
        <v>1</v>
      </c>
    </row>
    <row r="2" spans="1:11" x14ac:dyDescent="0.25">
      <c r="A2" s="3" t="s">
        <v>41</v>
      </c>
      <c r="B2" s="4">
        <v>2</v>
      </c>
    </row>
    <row r="3" spans="1:11" x14ac:dyDescent="0.25">
      <c r="A3" s="1" t="s">
        <v>3</v>
      </c>
      <c r="C3" s="5" t="s">
        <v>42</v>
      </c>
      <c r="D3" s="5" t="s">
        <v>43</v>
      </c>
      <c r="E3" s="5" t="s">
        <v>5</v>
      </c>
      <c r="F3" s="5" t="s">
        <v>44</v>
      </c>
      <c r="G3" s="5" t="s">
        <v>45</v>
      </c>
      <c r="H3" s="5" t="s">
        <v>46</v>
      </c>
    </row>
    <row r="4" spans="1:11" x14ac:dyDescent="0.25">
      <c r="A4" s="1" t="s">
        <v>7</v>
      </c>
      <c r="C4" s="5" t="s">
        <v>47</v>
      </c>
      <c r="D4" s="5" t="s">
        <v>48</v>
      </c>
      <c r="E4" s="5" t="s">
        <v>49</v>
      </c>
      <c r="F4" s="5" t="s">
        <v>50</v>
      </c>
      <c r="G4" s="5" t="s">
        <v>51</v>
      </c>
      <c r="H4" s="5" t="s">
        <v>52</v>
      </c>
    </row>
    <row r="5" spans="1:11" x14ac:dyDescent="0.25">
      <c r="A5" s="1" t="s">
        <v>11</v>
      </c>
      <c r="B5" s="2" t="s">
        <v>53</v>
      </c>
    </row>
    <row r="6" spans="1:11" x14ac:dyDescent="0.25">
      <c r="A6" s="1" t="s">
        <v>13</v>
      </c>
      <c r="B6" s="2" t="s">
        <v>54</v>
      </c>
    </row>
    <row r="8" spans="1:11" x14ac:dyDescent="0.25">
      <c r="A8" s="6" t="s">
        <v>15</v>
      </c>
    </row>
    <row r="10" spans="1:11" x14ac:dyDescent="0.25">
      <c r="A10" s="2" t="s">
        <v>16</v>
      </c>
      <c r="H10" s="2" t="s">
        <v>17</v>
      </c>
    </row>
    <row r="11" spans="1:11" x14ac:dyDescent="0.25">
      <c r="C11" s="5" t="s">
        <v>90</v>
      </c>
      <c r="D11" s="5" t="s">
        <v>89</v>
      </c>
      <c r="E11" s="5" t="s">
        <v>88</v>
      </c>
      <c r="H11" s="5" t="s">
        <v>18</v>
      </c>
      <c r="I11" s="5" t="s">
        <v>19</v>
      </c>
      <c r="J11" s="5" t="s">
        <v>20</v>
      </c>
    </row>
    <row r="12" spans="1:11" x14ac:dyDescent="0.25">
      <c r="A12" s="1"/>
      <c r="B12" s="7"/>
      <c r="C12" s="5">
        <v>100</v>
      </c>
      <c r="D12" s="5">
        <v>40</v>
      </c>
      <c r="E12" s="61">
        <v>8</v>
      </c>
      <c r="H12" s="5"/>
      <c r="I12" s="5"/>
      <c r="J12" s="5"/>
    </row>
    <row r="14" spans="1:11" x14ac:dyDescent="0.25">
      <c r="A14" s="2" t="s">
        <v>22</v>
      </c>
      <c r="C14" s="61" t="s">
        <v>96</v>
      </c>
      <c r="D14" s="65">
        <v>0.4</v>
      </c>
    </row>
    <row r="16" spans="1:11" x14ac:dyDescent="0.25">
      <c r="A16" s="2" t="s">
        <v>24</v>
      </c>
      <c r="B16" s="8" t="s">
        <v>25</v>
      </c>
      <c r="C16" s="5">
        <v>10.4</v>
      </c>
      <c r="D16" s="5">
        <v>10.7</v>
      </c>
      <c r="E16" s="61">
        <v>11.1</v>
      </c>
      <c r="F16" s="5">
        <v>12.5</v>
      </c>
      <c r="G16" s="5">
        <v>14.1</v>
      </c>
      <c r="H16" s="5">
        <v>15.8</v>
      </c>
      <c r="I16" s="5"/>
      <c r="J16" s="5"/>
      <c r="K16" s="5"/>
    </row>
    <row r="17" spans="2:11" ht="16.5" x14ac:dyDescent="0.35">
      <c r="B17" s="9" t="s">
        <v>26</v>
      </c>
      <c r="C17" s="5">
        <v>1.81</v>
      </c>
      <c r="D17" s="5">
        <v>1.83</v>
      </c>
      <c r="E17" s="61">
        <v>1.84</v>
      </c>
      <c r="F17" s="5">
        <v>1.83</v>
      </c>
      <c r="G17" s="5">
        <v>1.81</v>
      </c>
      <c r="H17" s="5">
        <v>1.75</v>
      </c>
      <c r="I17" s="5"/>
      <c r="J17" s="5"/>
      <c r="K17" s="5"/>
    </row>
    <row r="18" spans="2:11" x14ac:dyDescent="0.25">
      <c r="B18" s="8" t="s">
        <v>27</v>
      </c>
      <c r="C18" s="5">
        <v>30</v>
      </c>
      <c r="D18" s="5">
        <v>25</v>
      </c>
      <c r="E18" s="61">
        <v>20</v>
      </c>
      <c r="F18" s="5">
        <v>17</v>
      </c>
      <c r="G18" s="5">
        <v>9</v>
      </c>
      <c r="H18" s="5">
        <v>4</v>
      </c>
      <c r="I18" s="5"/>
      <c r="J18" s="5"/>
      <c r="K18" s="5"/>
    </row>
    <row r="20" spans="2:11" ht="16.5" x14ac:dyDescent="0.35">
      <c r="D20" s="10" t="s">
        <v>28</v>
      </c>
      <c r="E20" s="10"/>
      <c r="F20" s="11" t="s">
        <v>26</v>
      </c>
      <c r="G20" s="11"/>
    </row>
    <row r="21" spans="2:11" x14ac:dyDescent="0.25">
      <c r="D21" s="10">
        <v>11.1</v>
      </c>
      <c r="E21" s="10"/>
      <c r="F21" s="10">
        <v>1.84</v>
      </c>
      <c r="G21" s="10"/>
    </row>
    <row r="42" spans="1:11" x14ac:dyDescent="0.25">
      <c r="A42" s="12" t="s">
        <v>55</v>
      </c>
      <c r="F42" s="12" t="s">
        <v>56</v>
      </c>
      <c r="J42" s="2">
        <v>2050</v>
      </c>
      <c r="K42" s="12" t="s">
        <v>31</v>
      </c>
    </row>
    <row r="43" spans="1:11" x14ac:dyDescent="0.25">
      <c r="F43" s="12" t="s">
        <v>57</v>
      </c>
      <c r="J43" s="2">
        <f>J42-0.12*J42</f>
        <v>1804</v>
      </c>
      <c r="K43" s="12" t="s">
        <v>31</v>
      </c>
    </row>
    <row r="44" spans="1:11" x14ac:dyDescent="0.25">
      <c r="A44" s="2" t="s">
        <v>33</v>
      </c>
      <c r="C44" s="5" t="s">
        <v>34</v>
      </c>
      <c r="D44" s="64">
        <f>(J42-J43)/J43</f>
        <v>0.13636363636363635</v>
      </c>
    </row>
    <row r="46" spans="1:11" x14ac:dyDescent="0.25">
      <c r="C46" s="5" t="s">
        <v>27</v>
      </c>
      <c r="D46" s="5">
        <v>20</v>
      </c>
    </row>
    <row r="48" spans="1:11" x14ac:dyDescent="0.25">
      <c r="A48" s="8" t="s">
        <v>35</v>
      </c>
      <c r="B48" s="14" t="s">
        <v>99</v>
      </c>
      <c r="D48" s="62" t="s">
        <v>95</v>
      </c>
      <c r="E48" s="62" t="s">
        <v>91</v>
      </c>
      <c r="F48" s="1" t="s">
        <v>93</v>
      </c>
      <c r="G48" s="63">
        <f>14/11.1</f>
        <v>1.2612612612612613</v>
      </c>
      <c r="H48" s="2" t="s">
        <v>97</v>
      </c>
      <c r="J48" s="2" t="s">
        <v>98</v>
      </c>
    </row>
    <row r="50" spans="1:2" x14ac:dyDescent="0.25">
      <c r="A50" s="6" t="s">
        <v>36</v>
      </c>
    </row>
    <row r="52" spans="1:2" x14ac:dyDescent="0.25">
      <c r="A52" s="2" t="s">
        <v>37</v>
      </c>
      <c r="B52" s="7">
        <v>80</v>
      </c>
    </row>
    <row r="53" spans="1:2" x14ac:dyDescent="0.25">
      <c r="A53" s="2" t="s">
        <v>38</v>
      </c>
      <c r="B53" s="7" t="s">
        <v>58</v>
      </c>
    </row>
    <row r="54" spans="1:2" x14ac:dyDescent="0.25">
      <c r="A54" s="2" t="s">
        <v>39</v>
      </c>
      <c r="B54" s="15">
        <v>0.15</v>
      </c>
    </row>
    <row r="55" spans="1:2" x14ac:dyDescent="0.25">
      <c r="A55" s="8" t="s">
        <v>35</v>
      </c>
      <c r="B55" s="14" t="s">
        <v>100</v>
      </c>
    </row>
    <row r="57" spans="1:2" x14ac:dyDescent="0.25">
      <c r="A57" s="6" t="s">
        <v>40</v>
      </c>
    </row>
    <row r="59" spans="1:2" x14ac:dyDescent="0.25">
      <c r="A59" s="8" t="s">
        <v>35</v>
      </c>
      <c r="B59" s="14" t="s">
        <v>101</v>
      </c>
    </row>
  </sheetData>
  <mergeCells count="4">
    <mergeCell ref="D20:E20"/>
    <mergeCell ref="F20:G20"/>
    <mergeCell ref="D21:E21"/>
    <mergeCell ref="F21:G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02295-ADF8-40CF-8EC9-8CC8AB310742}">
  <dimension ref="B11:D19"/>
  <sheetViews>
    <sheetView workbookViewId="0">
      <selection activeCell="B11" sqref="B11:D18"/>
    </sheetView>
  </sheetViews>
  <sheetFormatPr baseColWidth="10" defaultRowHeight="15" x14ac:dyDescent="0.25"/>
  <cols>
    <col min="1" max="1" width="3.5703125" style="2" customWidth="1"/>
    <col min="2" max="2" width="11.42578125" style="2"/>
    <col min="3" max="3" width="13.42578125" style="2" customWidth="1"/>
    <col min="4" max="4" width="12.5703125" style="2" bestFit="1" customWidth="1"/>
    <col min="5" max="16384" width="11.42578125" style="2"/>
  </cols>
  <sheetData>
    <row r="11" spans="2:4" x14ac:dyDescent="0.25">
      <c r="B11" s="68" t="s">
        <v>106</v>
      </c>
      <c r="C11" s="68"/>
    </row>
    <row r="12" spans="2:4" x14ac:dyDescent="0.25">
      <c r="B12" s="67" t="s">
        <v>109</v>
      </c>
      <c r="C12" s="67"/>
      <c r="D12" s="70">
        <f>(11450/213)*(1.7)^(-2)</f>
        <v>18.600646555225239</v>
      </c>
    </row>
    <row r="13" spans="2:4" x14ac:dyDescent="0.25">
      <c r="B13" s="69" t="str">
        <f>"--&gt; Donc un compacteur V1"</f>
        <v>--&gt; Donc un compacteur V1</v>
      </c>
      <c r="C13" s="69"/>
      <c r="D13" s="69"/>
    </row>
    <row r="16" spans="2:4" x14ac:dyDescent="0.25">
      <c r="B16" s="68" t="s">
        <v>107</v>
      </c>
      <c r="C16" s="68"/>
    </row>
    <row r="17" spans="2:4" x14ac:dyDescent="0.25">
      <c r="B17" s="67" t="s">
        <v>108</v>
      </c>
      <c r="C17" s="67"/>
      <c r="D17" s="71">
        <f>29500*10/1000/(4+3)</f>
        <v>42.142857142857146</v>
      </c>
    </row>
    <row r="18" spans="2:4" x14ac:dyDescent="0.25">
      <c r="B18" s="72" t="str">
        <f>"--&gt; Donc un compacteur P2"</f>
        <v>--&gt; Donc un compacteur P2</v>
      </c>
    </row>
    <row r="19" spans="2:4" x14ac:dyDescent="0.25">
      <c r="B19" s="72"/>
      <c r="C19" s="7"/>
      <c r="D19" s="7"/>
    </row>
  </sheetData>
  <mergeCells count="5">
    <mergeCell ref="B11:C11"/>
    <mergeCell ref="B16:C16"/>
    <mergeCell ref="B17:C17"/>
    <mergeCell ref="B12:C12"/>
    <mergeCell ref="B13:D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DAE48-9B93-42B8-B23D-FCA9DEC4506E}">
  <dimension ref="A1:AG43"/>
  <sheetViews>
    <sheetView tabSelected="1" topLeftCell="A22" zoomScale="70" zoomScaleNormal="70" workbookViewId="0">
      <selection activeCell="H45" sqref="H45"/>
    </sheetView>
  </sheetViews>
  <sheetFormatPr baseColWidth="10" defaultRowHeight="15" x14ac:dyDescent="0.25"/>
  <cols>
    <col min="1" max="1" width="22.140625" style="2" customWidth="1"/>
    <col min="2" max="13" width="11.42578125" style="2"/>
    <col min="14" max="14" width="14.140625" style="2" customWidth="1"/>
    <col min="15" max="16384" width="11.42578125" style="2"/>
  </cols>
  <sheetData>
    <row r="1" spans="1:33" ht="26.25" x14ac:dyDescent="0.4">
      <c r="A1" s="16" t="s">
        <v>59</v>
      </c>
      <c r="B1" s="16"/>
      <c r="C1" s="16"/>
      <c r="D1" s="16"/>
      <c r="E1" s="16"/>
      <c r="F1" s="16"/>
      <c r="G1" s="16"/>
      <c r="H1" s="16"/>
      <c r="I1" s="16"/>
      <c r="J1" s="16"/>
      <c r="K1" s="16"/>
      <c r="L1" s="16"/>
      <c r="M1" s="16"/>
      <c r="N1" s="16"/>
      <c r="O1" s="16"/>
      <c r="P1" s="16"/>
    </row>
    <row r="2" spans="1:33" x14ac:dyDescent="0.25">
      <c r="A2" s="17"/>
      <c r="B2" s="17"/>
      <c r="C2" s="17"/>
      <c r="D2" s="17"/>
      <c r="E2" s="17"/>
      <c r="F2" s="17"/>
      <c r="G2" s="17"/>
      <c r="H2" s="17"/>
      <c r="I2" s="17"/>
      <c r="J2" s="17"/>
      <c r="K2" s="18"/>
      <c r="L2" s="19"/>
      <c r="M2" s="81"/>
      <c r="N2" s="74" t="s">
        <v>111</v>
      </c>
      <c r="O2" s="75"/>
      <c r="P2" s="76"/>
    </row>
    <row r="3" spans="1:33" ht="20.25" x14ac:dyDescent="0.25">
      <c r="A3" s="17"/>
      <c r="B3" s="17"/>
      <c r="C3" s="17"/>
      <c r="D3" s="17"/>
      <c r="E3" s="17"/>
      <c r="F3" s="17"/>
      <c r="G3" s="17"/>
      <c r="H3" s="17"/>
      <c r="I3" s="17"/>
      <c r="J3" s="17"/>
      <c r="K3" s="20"/>
      <c r="L3" s="21" t="s">
        <v>60</v>
      </c>
      <c r="M3" s="82" t="s">
        <v>112</v>
      </c>
      <c r="N3" s="77"/>
      <c r="O3" s="77"/>
      <c r="P3" s="78"/>
    </row>
    <row r="4" spans="1:33" x14ac:dyDescent="0.25">
      <c r="A4" s="17"/>
      <c r="B4" s="17"/>
      <c r="C4" s="17"/>
      <c r="D4" s="18"/>
      <c r="E4" s="19"/>
      <c r="F4" s="19"/>
      <c r="G4" s="19"/>
      <c r="H4" s="19"/>
      <c r="I4" s="19"/>
      <c r="J4" s="22"/>
      <c r="K4" s="23"/>
      <c r="L4" s="23"/>
      <c r="M4" s="83"/>
      <c r="N4" s="79"/>
      <c r="O4" s="79"/>
      <c r="P4" s="80"/>
    </row>
    <row r="5" spans="1:33" ht="18.75" thickBot="1" x14ac:dyDescent="0.3">
      <c r="A5" s="17"/>
      <c r="B5" s="17"/>
      <c r="C5" s="17"/>
      <c r="D5" s="24" t="s">
        <v>61</v>
      </c>
      <c r="E5" s="25"/>
      <c r="F5" s="25"/>
      <c r="G5" s="25"/>
      <c r="H5" s="26">
        <v>0.14000000000000001</v>
      </c>
      <c r="I5" s="21"/>
      <c r="J5" s="27"/>
      <c r="K5" s="17"/>
      <c r="L5" s="17"/>
      <c r="M5" s="17"/>
      <c r="N5" s="17"/>
      <c r="O5" s="17"/>
      <c r="P5" s="17"/>
    </row>
    <row r="6" spans="1:33" ht="23.25" thickBot="1" x14ac:dyDescent="0.3">
      <c r="A6" s="17"/>
      <c r="B6" s="17"/>
      <c r="C6" s="17"/>
      <c r="D6" s="28" t="s">
        <v>62</v>
      </c>
      <c r="E6" s="29"/>
      <c r="F6" s="29"/>
      <c r="G6" s="29"/>
      <c r="H6" s="30">
        <v>18.5</v>
      </c>
      <c r="I6" s="21"/>
      <c r="J6" s="27"/>
      <c r="K6" s="17"/>
      <c r="M6" s="84" t="s">
        <v>93</v>
      </c>
      <c r="N6" s="90">
        <f>12/14</f>
        <v>0.8571428571428571</v>
      </c>
      <c r="P6" s="17"/>
    </row>
    <row r="7" spans="1:33" x14ac:dyDescent="0.25">
      <c r="A7" s="17"/>
      <c r="B7" s="17"/>
      <c r="C7" s="17"/>
      <c r="D7" s="31"/>
      <c r="E7" s="23"/>
      <c r="F7" s="23"/>
      <c r="G7" s="23"/>
      <c r="H7" s="23"/>
      <c r="I7" s="23"/>
      <c r="J7" s="32"/>
      <c r="K7" s="17"/>
      <c r="L7" s="17"/>
      <c r="M7" s="17"/>
      <c r="N7" s="17"/>
      <c r="O7" s="17"/>
      <c r="P7" s="17"/>
    </row>
    <row r="8" spans="1:33" ht="15.75" thickBot="1" x14ac:dyDescent="0.3">
      <c r="A8" s="17"/>
      <c r="B8" s="17"/>
      <c r="C8" s="17"/>
      <c r="D8" s="17"/>
      <c r="E8" s="17"/>
      <c r="F8" s="17"/>
      <c r="G8" s="17"/>
      <c r="H8" s="17"/>
      <c r="I8" s="17"/>
      <c r="J8" s="17"/>
      <c r="K8" s="17"/>
      <c r="L8" s="17"/>
      <c r="M8" s="17"/>
      <c r="N8" s="17"/>
      <c r="O8" s="17"/>
      <c r="P8" s="17"/>
    </row>
    <row r="9" spans="1:33" ht="18.75" x14ac:dyDescent="0.25">
      <c r="A9" s="33" t="s">
        <v>63</v>
      </c>
      <c r="B9" s="34" t="s">
        <v>113</v>
      </c>
      <c r="C9" s="34"/>
      <c r="D9" s="34"/>
      <c r="E9" s="34" t="s">
        <v>114</v>
      </c>
      <c r="F9" s="34"/>
      <c r="G9" s="34"/>
      <c r="H9" s="34" t="s">
        <v>115</v>
      </c>
      <c r="I9" s="34"/>
      <c r="J9" s="34"/>
      <c r="K9" s="34" t="s">
        <v>117</v>
      </c>
      <c r="L9" s="34"/>
      <c r="M9" s="34"/>
      <c r="N9" s="34" t="s">
        <v>118</v>
      </c>
      <c r="O9" s="34"/>
      <c r="P9" s="35"/>
      <c r="R9" s="89"/>
      <c r="S9" s="89"/>
      <c r="T9" s="89"/>
      <c r="U9" s="89"/>
      <c r="V9" s="89"/>
    </row>
    <row r="10" spans="1:33" ht="18" x14ac:dyDescent="0.25">
      <c r="A10" s="36"/>
      <c r="B10" s="37" t="s">
        <v>64</v>
      </c>
      <c r="C10" s="37"/>
      <c r="D10" s="37"/>
      <c r="E10" s="37" t="s">
        <v>65</v>
      </c>
      <c r="F10" s="37"/>
      <c r="G10" s="37"/>
      <c r="H10" s="37" t="s">
        <v>66</v>
      </c>
      <c r="I10" s="37"/>
      <c r="J10" s="37"/>
      <c r="K10" s="37" t="s">
        <v>67</v>
      </c>
      <c r="L10" s="37"/>
      <c r="M10" s="37"/>
      <c r="N10" s="37" t="s">
        <v>68</v>
      </c>
      <c r="O10" s="37"/>
      <c r="P10" s="38"/>
    </row>
    <row r="11" spans="1:33" x14ac:dyDescent="0.25">
      <c r="A11" s="36"/>
      <c r="B11" s="91" t="s">
        <v>122</v>
      </c>
      <c r="C11" s="91"/>
      <c r="D11" s="91"/>
      <c r="E11" s="91" t="s">
        <v>122</v>
      </c>
      <c r="F11" s="91"/>
      <c r="G11" s="91"/>
      <c r="H11" s="91" t="s">
        <v>122</v>
      </c>
      <c r="I11" s="91"/>
      <c r="J11" s="91"/>
      <c r="K11" s="91" t="s">
        <v>122</v>
      </c>
      <c r="L11" s="91"/>
      <c r="M11" s="91"/>
      <c r="N11" s="91" t="s">
        <v>122</v>
      </c>
      <c r="O11" s="91"/>
      <c r="P11" s="92"/>
    </row>
    <row r="12" spans="1:33" ht="18" x14ac:dyDescent="0.25">
      <c r="A12" s="36" t="s">
        <v>69</v>
      </c>
      <c r="B12" s="39" t="s">
        <v>70</v>
      </c>
      <c r="C12" s="39" t="s">
        <v>71</v>
      </c>
      <c r="D12" s="39" t="s">
        <v>72</v>
      </c>
      <c r="E12" s="39" t="s">
        <v>70</v>
      </c>
      <c r="F12" s="39" t="s">
        <v>71</v>
      </c>
      <c r="G12" s="39" t="s">
        <v>72</v>
      </c>
      <c r="H12" s="39" t="s">
        <v>70</v>
      </c>
      <c r="I12" s="39" t="s">
        <v>71</v>
      </c>
      <c r="J12" s="39" t="s">
        <v>72</v>
      </c>
      <c r="K12" s="39" t="s">
        <v>70</v>
      </c>
      <c r="L12" s="39" t="s">
        <v>71</v>
      </c>
      <c r="M12" s="39" t="s">
        <v>72</v>
      </c>
      <c r="N12" s="39" t="s">
        <v>70</v>
      </c>
      <c r="O12" s="39" t="s">
        <v>71</v>
      </c>
      <c r="P12" s="40" t="s">
        <v>72</v>
      </c>
    </row>
    <row r="13" spans="1:33" ht="18" x14ac:dyDescent="0.25">
      <c r="A13" s="36" t="s">
        <v>73</v>
      </c>
      <c r="B13" s="39"/>
      <c r="C13" s="39"/>
      <c r="D13" s="39"/>
      <c r="E13" s="39" t="s">
        <v>119</v>
      </c>
      <c r="F13" s="39"/>
      <c r="G13" s="39"/>
      <c r="H13" s="39">
        <v>2</v>
      </c>
      <c r="I13" s="39">
        <v>1</v>
      </c>
      <c r="J13" s="39"/>
      <c r="K13" s="39"/>
      <c r="L13" s="39" t="s">
        <v>121</v>
      </c>
      <c r="M13" s="39"/>
      <c r="N13" s="39"/>
      <c r="O13" s="39"/>
      <c r="P13" s="40"/>
      <c r="R13" s="95"/>
      <c r="S13" s="95"/>
      <c r="T13" s="95"/>
      <c r="U13" s="95"/>
      <c r="V13" s="95"/>
      <c r="W13" s="95"/>
      <c r="X13" s="95"/>
      <c r="Y13" s="95"/>
      <c r="Z13" s="95"/>
      <c r="AA13" s="95"/>
      <c r="AB13" s="95"/>
      <c r="AC13" s="95"/>
      <c r="AD13" s="95"/>
      <c r="AE13" s="95"/>
      <c r="AF13" s="95"/>
      <c r="AG13" s="95"/>
    </row>
    <row r="14" spans="1:33" ht="18" x14ac:dyDescent="0.25">
      <c r="A14" s="36" t="s">
        <v>74</v>
      </c>
      <c r="B14" s="39"/>
      <c r="C14" s="39"/>
      <c r="D14" s="39"/>
      <c r="E14" s="39"/>
      <c r="F14" s="39"/>
      <c r="G14" s="39"/>
      <c r="H14" s="39"/>
      <c r="I14" s="39"/>
      <c r="J14" s="39"/>
      <c r="K14" s="39">
        <v>2</v>
      </c>
      <c r="L14" s="39"/>
      <c r="M14" s="39"/>
      <c r="N14" s="39" t="s">
        <v>121</v>
      </c>
      <c r="O14" s="39"/>
      <c r="P14" s="40"/>
      <c r="R14" s="95"/>
      <c r="S14" s="95"/>
      <c r="T14" s="95"/>
      <c r="U14" s="95"/>
      <c r="V14" s="95"/>
      <c r="W14" s="95"/>
      <c r="X14" s="95"/>
      <c r="Y14" s="95"/>
      <c r="Z14" s="95"/>
      <c r="AA14" s="95"/>
      <c r="AB14" s="95"/>
      <c r="AC14" s="95"/>
      <c r="AD14" s="95"/>
      <c r="AE14" s="95"/>
      <c r="AF14" s="95"/>
      <c r="AG14" s="95"/>
    </row>
    <row r="15" spans="1:33" ht="18" x14ac:dyDescent="0.25">
      <c r="A15" s="36" t="s">
        <v>75</v>
      </c>
      <c r="B15" s="39"/>
      <c r="C15" s="39"/>
      <c r="D15" s="39"/>
      <c r="E15" s="39"/>
      <c r="F15" s="39"/>
      <c r="G15" s="39"/>
      <c r="H15" s="39"/>
      <c r="I15" s="39"/>
      <c r="J15" s="39"/>
      <c r="K15" s="39"/>
      <c r="L15" s="39">
        <v>2</v>
      </c>
      <c r="M15" s="39">
        <v>2</v>
      </c>
      <c r="N15" s="39"/>
      <c r="O15" s="39"/>
      <c r="P15" s="40"/>
      <c r="R15" s="95"/>
      <c r="S15" s="95"/>
      <c r="T15" s="95"/>
      <c r="U15" s="95"/>
      <c r="V15" s="95"/>
      <c r="W15" s="95"/>
      <c r="X15" s="95"/>
      <c r="Y15" s="95"/>
      <c r="Z15" s="95"/>
      <c r="AA15" s="95"/>
      <c r="AB15" s="95"/>
      <c r="AC15" s="95"/>
      <c r="AD15" s="95"/>
      <c r="AE15" s="95"/>
      <c r="AF15" s="95"/>
      <c r="AG15" s="95"/>
    </row>
    <row r="16" spans="1:33" ht="18" x14ac:dyDescent="0.25">
      <c r="A16" s="36" t="s">
        <v>76</v>
      </c>
      <c r="B16" s="39" t="s">
        <v>120</v>
      </c>
      <c r="C16" s="39" t="s">
        <v>120</v>
      </c>
      <c r="D16" s="39"/>
      <c r="E16" s="39"/>
      <c r="F16" s="39"/>
      <c r="G16" s="39"/>
      <c r="H16" s="39"/>
      <c r="I16" s="39"/>
      <c r="J16" s="39"/>
      <c r="K16" s="39">
        <v>1</v>
      </c>
      <c r="L16" s="39"/>
      <c r="M16" s="39"/>
      <c r="N16" s="39"/>
      <c r="O16" s="39"/>
      <c r="P16" s="40"/>
      <c r="R16" s="95"/>
      <c r="S16" s="95"/>
      <c r="T16" s="95"/>
      <c r="U16" s="95"/>
      <c r="V16" s="95"/>
      <c r="W16" s="95"/>
      <c r="X16" s="95"/>
      <c r="Y16" s="95"/>
      <c r="Z16" s="95"/>
      <c r="AA16" s="95"/>
      <c r="AB16" s="95"/>
      <c r="AC16" s="95"/>
      <c r="AD16" s="95"/>
      <c r="AE16" s="95"/>
      <c r="AF16" s="95"/>
      <c r="AG16" s="95"/>
    </row>
    <row r="17" spans="1:33" ht="18" x14ac:dyDescent="0.25">
      <c r="A17" s="36" t="s">
        <v>77</v>
      </c>
      <c r="B17" s="39"/>
      <c r="C17" s="39"/>
      <c r="D17" s="39"/>
      <c r="E17" s="39">
        <v>2</v>
      </c>
      <c r="F17" s="39">
        <v>2</v>
      </c>
      <c r="G17" s="39"/>
      <c r="H17" s="39"/>
      <c r="I17" s="39"/>
      <c r="J17" s="39"/>
      <c r="K17" s="39"/>
      <c r="L17" s="39"/>
      <c r="M17" s="39"/>
      <c r="N17" s="39"/>
      <c r="O17" s="39"/>
      <c r="P17" s="40"/>
      <c r="R17" s="95"/>
      <c r="S17" s="95"/>
      <c r="T17" s="95"/>
      <c r="U17" s="95"/>
      <c r="V17" s="95"/>
      <c r="W17" s="95"/>
      <c r="X17" s="95"/>
      <c r="Y17" s="95"/>
      <c r="Z17" s="95"/>
      <c r="AA17" s="95"/>
      <c r="AB17" s="95"/>
      <c r="AC17" s="95"/>
      <c r="AD17" s="95"/>
      <c r="AE17" s="95"/>
      <c r="AF17" s="95"/>
      <c r="AG17" s="95"/>
    </row>
    <row r="18" spans="1:33" ht="43.5" thickBot="1" x14ac:dyDescent="0.3">
      <c r="A18" s="41" t="s">
        <v>78</v>
      </c>
      <c r="B18" s="93" t="s">
        <v>125</v>
      </c>
      <c r="C18" s="93" t="s">
        <v>125</v>
      </c>
      <c r="D18" s="93"/>
      <c r="E18" s="93" t="s">
        <v>126</v>
      </c>
      <c r="F18" s="93" t="s">
        <v>126</v>
      </c>
      <c r="G18" s="93"/>
      <c r="H18" s="93"/>
      <c r="I18" s="93"/>
      <c r="J18" s="93"/>
      <c r="K18" s="42" t="s">
        <v>124</v>
      </c>
      <c r="L18" s="93" t="s">
        <v>126</v>
      </c>
      <c r="M18" s="93" t="s">
        <v>126</v>
      </c>
      <c r="N18" s="93"/>
      <c r="O18" s="93"/>
      <c r="P18" s="94"/>
      <c r="R18" s="95"/>
      <c r="S18" s="95"/>
      <c r="T18" s="95"/>
      <c r="U18" s="95"/>
      <c r="V18" s="95"/>
      <c r="W18" s="95"/>
      <c r="X18" s="95"/>
      <c r="Y18" s="95"/>
      <c r="Z18" s="95"/>
      <c r="AA18" s="95"/>
      <c r="AB18" s="95"/>
      <c r="AC18" s="95"/>
      <c r="AD18" s="95"/>
      <c r="AE18" s="95"/>
      <c r="AF18" s="95"/>
      <c r="AG18" s="95"/>
    </row>
    <row r="19" spans="1:33" ht="15.75" thickBot="1" x14ac:dyDescent="0.3">
      <c r="A19" s="17"/>
      <c r="B19" s="17"/>
      <c r="C19" s="17"/>
      <c r="D19" s="17"/>
      <c r="E19" s="17"/>
      <c r="F19" s="17"/>
      <c r="G19" s="17"/>
      <c r="H19" s="17"/>
      <c r="I19" s="17"/>
      <c r="J19" s="17"/>
      <c r="K19" s="17"/>
      <c r="L19" s="17"/>
      <c r="M19" s="17"/>
      <c r="N19" s="17"/>
      <c r="O19" s="17"/>
      <c r="P19" s="17"/>
      <c r="R19" s="95"/>
      <c r="S19" s="95"/>
      <c r="T19" s="95"/>
      <c r="U19" s="95"/>
      <c r="V19" s="95"/>
      <c r="W19" s="95"/>
      <c r="X19" s="95"/>
      <c r="Y19" s="95"/>
      <c r="Z19" s="95"/>
      <c r="AA19" s="95"/>
      <c r="AB19" s="95"/>
      <c r="AC19" s="95"/>
      <c r="AD19" s="95"/>
      <c r="AE19" s="95"/>
      <c r="AF19" s="95"/>
      <c r="AG19" s="95"/>
    </row>
    <row r="20" spans="1:33" ht="21" thickBot="1" x14ac:dyDescent="0.3">
      <c r="A20" s="88"/>
      <c r="B20" s="44" t="s">
        <v>79</v>
      </c>
      <c r="C20" s="45"/>
      <c r="D20" s="46"/>
      <c r="E20" s="47" t="s">
        <v>127</v>
      </c>
      <c r="F20" s="60"/>
      <c r="G20" s="60"/>
      <c r="H20" s="48"/>
      <c r="I20" s="47" t="s">
        <v>128</v>
      </c>
      <c r="J20" s="60"/>
      <c r="K20" s="60"/>
      <c r="L20" s="48"/>
      <c r="M20" s="86"/>
      <c r="N20" s="86"/>
      <c r="O20" s="86"/>
      <c r="P20" s="86"/>
      <c r="R20" s="95"/>
      <c r="S20" s="95"/>
      <c r="T20" s="95"/>
      <c r="U20" s="95"/>
      <c r="V20" s="95"/>
      <c r="W20" s="95"/>
      <c r="X20" s="95"/>
      <c r="Y20" s="95"/>
      <c r="Z20" s="95"/>
      <c r="AA20" s="95"/>
      <c r="AB20" s="95"/>
      <c r="AC20" s="95"/>
      <c r="AD20" s="95"/>
      <c r="AE20" s="95"/>
      <c r="AF20" s="95"/>
      <c r="AG20" s="95"/>
    </row>
    <row r="21" spans="1:33" ht="20.25" x14ac:dyDescent="0.25">
      <c r="A21" s="49" t="s">
        <v>80</v>
      </c>
      <c r="B21" s="50" t="s">
        <v>81</v>
      </c>
      <c r="C21" s="51"/>
      <c r="D21" s="52"/>
      <c r="E21" s="53">
        <v>0.2</v>
      </c>
      <c r="F21" s="97"/>
      <c r="G21" s="85"/>
      <c r="H21" s="54"/>
      <c r="I21" s="50">
        <v>8.5000000000000006E-2</v>
      </c>
      <c r="J21" s="51"/>
      <c r="K21" s="51"/>
      <c r="L21" s="52"/>
      <c r="M21" s="86"/>
      <c r="N21" s="86"/>
      <c r="O21" s="86"/>
      <c r="P21" s="86"/>
      <c r="R21" s="95"/>
      <c r="S21" s="95"/>
      <c r="T21" s="95"/>
      <c r="U21" s="95"/>
      <c r="V21" s="95"/>
      <c r="W21" s="95"/>
      <c r="X21" s="95"/>
      <c r="Y21" s="95"/>
      <c r="Z21" s="95"/>
      <c r="AA21" s="95"/>
      <c r="AB21" s="95"/>
      <c r="AC21" s="95"/>
      <c r="AD21" s="95"/>
      <c r="AE21" s="95"/>
      <c r="AF21" s="95"/>
      <c r="AG21" s="95"/>
    </row>
    <row r="22" spans="1:33" ht="20.25" x14ac:dyDescent="0.25">
      <c r="A22" s="55"/>
      <c r="B22" s="50" t="s">
        <v>82</v>
      </c>
      <c r="C22" s="51"/>
      <c r="D22" s="52"/>
      <c r="E22" s="50">
        <v>0.3</v>
      </c>
      <c r="F22" s="51"/>
      <c r="G22" s="51"/>
      <c r="H22" s="52"/>
      <c r="I22" s="50">
        <v>0.2</v>
      </c>
      <c r="J22" s="51"/>
      <c r="K22" s="51"/>
      <c r="L22" s="52"/>
      <c r="M22" s="86"/>
      <c r="N22" s="86"/>
      <c r="O22" s="86"/>
      <c r="P22" s="86"/>
      <c r="R22" s="95"/>
      <c r="S22" s="95"/>
      <c r="T22" s="95"/>
      <c r="U22" s="95"/>
      <c r="V22" s="95"/>
      <c r="W22" s="95"/>
      <c r="X22" s="95"/>
      <c r="Y22" s="95"/>
      <c r="Z22" s="95"/>
      <c r="AA22" s="95"/>
      <c r="AB22" s="95"/>
      <c r="AC22" s="95"/>
      <c r="AD22" s="95"/>
      <c r="AE22" s="95"/>
      <c r="AF22" s="95"/>
      <c r="AG22" s="95"/>
    </row>
    <row r="23" spans="1:33" ht="20.25" customHeight="1" x14ac:dyDescent="0.25">
      <c r="A23" s="55"/>
      <c r="B23" s="50" t="s">
        <v>83</v>
      </c>
      <c r="C23" s="51"/>
      <c r="D23" s="52"/>
      <c r="E23" s="50">
        <v>2.5</v>
      </c>
      <c r="F23" s="51"/>
      <c r="G23" s="51"/>
      <c r="H23" s="52"/>
      <c r="I23" s="50">
        <v>2</v>
      </c>
      <c r="J23" s="51"/>
      <c r="K23" s="51"/>
      <c r="L23" s="52"/>
      <c r="M23" s="86"/>
      <c r="N23" s="86"/>
      <c r="O23" s="86"/>
      <c r="P23" s="86"/>
    </row>
    <row r="24" spans="1:33" ht="20.25" x14ac:dyDescent="0.25">
      <c r="A24" s="55"/>
      <c r="B24" s="50" t="s">
        <v>84</v>
      </c>
      <c r="C24" s="51"/>
      <c r="D24" s="52"/>
      <c r="E24" s="50">
        <v>10</v>
      </c>
      <c r="F24" s="51"/>
      <c r="G24" s="51"/>
      <c r="H24" s="52"/>
      <c r="I24" s="50">
        <v>10</v>
      </c>
      <c r="J24" s="51"/>
      <c r="K24" s="51"/>
      <c r="L24" s="52"/>
      <c r="M24" s="86"/>
      <c r="N24" s="86"/>
      <c r="O24" s="86"/>
      <c r="P24" s="86"/>
    </row>
    <row r="25" spans="1:33" ht="21" thickBot="1" x14ac:dyDescent="0.3">
      <c r="A25" s="56"/>
      <c r="B25" s="57" t="s">
        <v>85</v>
      </c>
      <c r="C25" s="58"/>
      <c r="D25" s="59"/>
      <c r="E25" s="57">
        <v>75</v>
      </c>
      <c r="F25" s="58"/>
      <c r="G25" s="58"/>
      <c r="H25" s="59"/>
      <c r="I25" s="57">
        <v>40</v>
      </c>
      <c r="J25" s="58"/>
      <c r="K25" s="58"/>
      <c r="L25" s="59"/>
      <c r="M25" s="86"/>
      <c r="N25" s="86"/>
      <c r="O25" s="86"/>
      <c r="P25" s="86"/>
    </row>
    <row r="26" spans="1:33" ht="20.25" x14ac:dyDescent="0.25">
      <c r="A26" s="49" t="s">
        <v>86</v>
      </c>
      <c r="B26" s="50" t="s">
        <v>81</v>
      </c>
      <c r="C26" s="51"/>
      <c r="D26" s="52"/>
      <c r="E26" s="50">
        <v>0.06</v>
      </c>
      <c r="F26" s="51"/>
      <c r="G26" s="51"/>
      <c r="H26" s="52"/>
      <c r="I26" s="50">
        <v>0.13</v>
      </c>
      <c r="J26" s="51"/>
      <c r="K26" s="51"/>
      <c r="L26" s="52"/>
      <c r="M26" s="86"/>
      <c r="N26" s="86"/>
      <c r="O26" s="86"/>
      <c r="P26" s="86"/>
    </row>
    <row r="27" spans="1:33" ht="20.25" x14ac:dyDescent="0.25">
      <c r="A27" s="55"/>
      <c r="B27" s="50" t="s">
        <v>82</v>
      </c>
      <c r="C27" s="51"/>
      <c r="D27" s="52"/>
      <c r="E27" s="50">
        <v>0.3</v>
      </c>
      <c r="F27" s="51"/>
      <c r="G27" s="51"/>
      <c r="H27" s="52"/>
      <c r="I27" s="50">
        <v>0.25</v>
      </c>
      <c r="J27" s="51"/>
      <c r="K27" s="51"/>
      <c r="L27" s="52"/>
      <c r="M27" s="86"/>
      <c r="N27" s="86"/>
      <c r="O27" s="86"/>
      <c r="P27" s="86"/>
    </row>
    <row r="28" spans="1:33" ht="20.25" x14ac:dyDescent="0.25">
      <c r="A28" s="55"/>
      <c r="B28" s="50" t="s">
        <v>83</v>
      </c>
      <c r="C28" s="51"/>
      <c r="D28" s="52"/>
      <c r="E28" s="50">
        <v>2.5</v>
      </c>
      <c r="F28" s="51"/>
      <c r="G28" s="51"/>
      <c r="H28" s="52"/>
      <c r="I28" s="50">
        <v>2</v>
      </c>
      <c r="J28" s="51"/>
      <c r="K28" s="51"/>
      <c r="L28" s="52"/>
      <c r="M28" s="86"/>
      <c r="N28" s="86"/>
      <c r="O28" s="86"/>
      <c r="P28" s="86"/>
    </row>
    <row r="29" spans="1:33" ht="20.25" x14ac:dyDescent="0.25">
      <c r="A29" s="55"/>
      <c r="B29" s="50" t="s">
        <v>84</v>
      </c>
      <c r="C29" s="51"/>
      <c r="D29" s="52"/>
      <c r="E29" s="50">
        <v>7</v>
      </c>
      <c r="F29" s="51"/>
      <c r="G29" s="51"/>
      <c r="H29" s="52"/>
      <c r="I29" s="50">
        <v>9</v>
      </c>
      <c r="J29" s="51"/>
      <c r="K29" s="51"/>
      <c r="L29" s="52"/>
      <c r="M29" s="86"/>
      <c r="N29" s="86"/>
      <c r="O29" s="86"/>
      <c r="P29" s="86"/>
    </row>
    <row r="30" spans="1:33" ht="21" thickBot="1" x14ac:dyDescent="0.3">
      <c r="A30" s="56"/>
      <c r="B30" s="57" t="s">
        <v>85</v>
      </c>
      <c r="C30" s="58"/>
      <c r="D30" s="59"/>
      <c r="E30" s="57">
        <v>115</v>
      </c>
      <c r="F30" s="58"/>
      <c r="G30" s="58"/>
      <c r="H30" s="59"/>
      <c r="I30" s="57">
        <v>60</v>
      </c>
      <c r="J30" s="58"/>
      <c r="K30" s="58"/>
      <c r="L30" s="59"/>
      <c r="M30" s="86"/>
      <c r="N30" s="86"/>
      <c r="O30" s="86"/>
      <c r="P30" s="86"/>
    </row>
    <row r="31" spans="1:33" ht="20.25" x14ac:dyDescent="0.25">
      <c r="A31" s="49" t="s">
        <v>87</v>
      </c>
      <c r="B31" s="50" t="s">
        <v>81</v>
      </c>
      <c r="C31" s="51"/>
      <c r="D31" s="52"/>
      <c r="E31" s="50">
        <v>0.08</v>
      </c>
      <c r="F31" s="51"/>
      <c r="G31" s="51"/>
      <c r="H31" s="52"/>
      <c r="I31" s="50">
        <v>0.05</v>
      </c>
      <c r="J31" s="51"/>
      <c r="K31" s="51"/>
      <c r="L31" s="52"/>
      <c r="M31" s="86"/>
      <c r="N31" s="86"/>
      <c r="O31" s="86"/>
      <c r="P31" s="86"/>
    </row>
    <row r="32" spans="1:33" ht="20.25" x14ac:dyDescent="0.25">
      <c r="A32" s="55"/>
      <c r="B32" s="50" t="s">
        <v>82</v>
      </c>
      <c r="C32" s="51"/>
      <c r="D32" s="52"/>
      <c r="E32" s="50">
        <v>0.3</v>
      </c>
      <c r="F32" s="51"/>
      <c r="G32" s="51"/>
      <c r="H32" s="52"/>
      <c r="I32" s="50">
        <v>0.25</v>
      </c>
      <c r="J32" s="51"/>
      <c r="K32" s="51"/>
      <c r="L32" s="52"/>
      <c r="M32" s="86"/>
      <c r="N32" s="86"/>
      <c r="O32" s="86"/>
      <c r="P32" s="86"/>
    </row>
    <row r="33" spans="1:16" ht="20.25" x14ac:dyDescent="0.25">
      <c r="A33" s="55"/>
      <c r="B33" s="50" t="s">
        <v>83</v>
      </c>
      <c r="C33" s="51"/>
      <c r="D33" s="52"/>
      <c r="E33" s="50">
        <v>2.5</v>
      </c>
      <c r="F33" s="51"/>
      <c r="G33" s="51"/>
      <c r="H33" s="52"/>
      <c r="I33" s="50">
        <v>2</v>
      </c>
      <c r="J33" s="51"/>
      <c r="K33" s="51"/>
      <c r="L33" s="52"/>
      <c r="M33" s="86"/>
      <c r="N33" s="86"/>
      <c r="O33" s="86"/>
      <c r="P33" s="86"/>
    </row>
    <row r="34" spans="1:16" ht="20.25" x14ac:dyDescent="0.25">
      <c r="A34" s="55"/>
      <c r="B34" s="50" t="s">
        <v>84</v>
      </c>
      <c r="C34" s="51"/>
      <c r="D34" s="52"/>
      <c r="E34" s="50">
        <v>4</v>
      </c>
      <c r="F34" s="51"/>
      <c r="G34" s="51"/>
      <c r="H34" s="52"/>
      <c r="I34" s="50">
        <v>5</v>
      </c>
      <c r="J34" s="51"/>
      <c r="K34" s="51"/>
      <c r="L34" s="52"/>
      <c r="M34" s="86"/>
      <c r="N34" s="86"/>
      <c r="O34" s="86"/>
      <c r="P34" s="86"/>
    </row>
    <row r="35" spans="1:16" ht="21" thickBot="1" x14ac:dyDescent="0.3">
      <c r="A35" s="56"/>
      <c r="B35" s="57" t="s">
        <v>85</v>
      </c>
      <c r="C35" s="58"/>
      <c r="D35" s="59"/>
      <c r="E35" s="57">
        <v>200</v>
      </c>
      <c r="F35" s="58"/>
      <c r="G35" s="58"/>
      <c r="H35" s="59"/>
      <c r="I35" s="57">
        <v>100</v>
      </c>
      <c r="J35" s="58"/>
      <c r="K35" s="58"/>
      <c r="L35" s="59"/>
      <c r="M35" s="86"/>
      <c r="N35" s="86"/>
      <c r="O35" s="86"/>
      <c r="P35" s="86"/>
    </row>
    <row r="36" spans="1:16" ht="20.25" x14ac:dyDescent="0.25">
      <c r="A36" s="43"/>
      <c r="B36" s="43"/>
      <c r="C36" s="43"/>
      <c r="D36" s="43"/>
      <c r="E36" s="43"/>
      <c r="F36" s="43"/>
      <c r="G36" s="43"/>
      <c r="H36" s="43"/>
      <c r="I36" s="43"/>
      <c r="J36" s="43"/>
      <c r="K36" s="43"/>
      <c r="L36" s="43"/>
      <c r="M36" s="87"/>
      <c r="N36" s="87"/>
      <c r="O36" s="87"/>
      <c r="P36" s="87"/>
    </row>
    <row r="37" spans="1:16" x14ac:dyDescent="0.25">
      <c r="A37" s="100"/>
      <c r="B37" s="100"/>
      <c r="C37" s="100"/>
      <c r="D37" s="100"/>
      <c r="E37" s="86"/>
      <c r="F37" s="86"/>
      <c r="G37" s="86"/>
      <c r="H37" s="86"/>
      <c r="I37" s="86"/>
      <c r="J37" s="86"/>
      <c r="K37" s="86"/>
      <c r="L37" s="86"/>
      <c r="M37" s="86"/>
      <c r="N37" s="86"/>
      <c r="O37" s="86"/>
      <c r="P37" s="86"/>
    </row>
    <row r="38" spans="1:16" x14ac:dyDescent="0.25">
      <c r="A38" s="100"/>
      <c r="B38" s="100"/>
      <c r="C38" s="100"/>
      <c r="D38" s="100"/>
      <c r="E38" s="86"/>
      <c r="F38" s="86"/>
      <c r="G38" s="86"/>
      <c r="H38" s="86"/>
      <c r="I38" s="86"/>
      <c r="J38" s="86"/>
      <c r="K38" s="86"/>
      <c r="L38" s="86"/>
      <c r="M38" s="86"/>
      <c r="N38" s="86"/>
      <c r="O38" s="86"/>
      <c r="P38" s="86"/>
    </row>
    <row r="39" spans="1:16" x14ac:dyDescent="0.25">
      <c r="A39" s="100"/>
      <c r="B39" s="100"/>
      <c r="C39" s="100"/>
      <c r="D39" s="100"/>
      <c r="E39" s="86"/>
      <c r="F39" s="86"/>
      <c r="G39" s="86"/>
      <c r="H39" s="86"/>
      <c r="I39" s="86"/>
      <c r="J39" s="86"/>
      <c r="K39" s="86"/>
      <c r="L39" s="86"/>
      <c r="M39" s="86"/>
      <c r="N39" s="86"/>
      <c r="O39" s="86"/>
      <c r="P39" s="86"/>
    </row>
    <row r="40" spans="1:16" x14ac:dyDescent="0.25">
      <c r="A40" s="100"/>
      <c r="B40" s="100"/>
      <c r="C40" s="100"/>
      <c r="D40" s="100"/>
      <c r="E40" s="86"/>
      <c r="F40" s="86"/>
      <c r="G40" s="86"/>
      <c r="H40" s="86"/>
      <c r="I40" s="86"/>
      <c r="J40" s="86"/>
      <c r="K40" s="86"/>
      <c r="L40" s="86"/>
      <c r="M40" s="86"/>
      <c r="N40" s="86"/>
      <c r="O40" s="86"/>
      <c r="P40" s="86"/>
    </row>
    <row r="41" spans="1:16" x14ac:dyDescent="0.25">
      <c r="A41" s="100"/>
      <c r="B41" s="100"/>
      <c r="C41" s="100"/>
      <c r="D41" s="100"/>
      <c r="E41" s="86"/>
      <c r="F41" s="86"/>
      <c r="G41" s="86"/>
      <c r="H41" s="86"/>
      <c r="I41" s="86"/>
      <c r="J41" s="86"/>
      <c r="K41" s="86"/>
      <c r="L41" s="86"/>
      <c r="M41" s="86"/>
      <c r="N41" s="86"/>
      <c r="O41" s="86"/>
      <c r="P41" s="86"/>
    </row>
    <row r="42" spans="1:16" x14ac:dyDescent="0.25">
      <c r="A42" s="100"/>
      <c r="B42" s="100"/>
      <c r="C42" s="100"/>
      <c r="D42" s="100"/>
      <c r="E42" s="86"/>
      <c r="F42" s="86"/>
      <c r="G42" s="86"/>
      <c r="H42" s="86"/>
      <c r="I42" s="86"/>
      <c r="J42" s="86"/>
      <c r="K42" s="86"/>
      <c r="L42" s="86"/>
      <c r="M42" s="86"/>
      <c r="N42" s="86"/>
      <c r="O42" s="86"/>
      <c r="P42" s="86"/>
    </row>
    <row r="43" spans="1:16" x14ac:dyDescent="0.25">
      <c r="A43" s="17"/>
      <c r="B43" s="17"/>
      <c r="C43" s="17"/>
      <c r="D43" s="17"/>
      <c r="E43" s="17"/>
      <c r="F43" s="17"/>
      <c r="G43" s="17"/>
      <c r="H43" s="17"/>
      <c r="I43" s="17"/>
      <c r="J43" s="17"/>
      <c r="K43" s="17"/>
      <c r="L43" s="17"/>
      <c r="M43" s="17"/>
      <c r="N43" s="17"/>
      <c r="O43" s="17"/>
      <c r="P43" s="17"/>
    </row>
  </sheetData>
  <mergeCells count="145">
    <mergeCell ref="G31:H31"/>
    <mergeCell ref="G26:H26"/>
    <mergeCell ref="G21:H21"/>
    <mergeCell ref="B41:D42"/>
    <mergeCell ref="E41:H42"/>
    <mergeCell ref="I41:L42"/>
    <mergeCell ref="M41:P42"/>
    <mergeCell ref="E31:F31"/>
    <mergeCell ref="E26:F26"/>
    <mergeCell ref="O35:P35"/>
    <mergeCell ref="A37:A42"/>
    <mergeCell ref="B37:D38"/>
    <mergeCell ref="E37:H38"/>
    <mergeCell ref="I37:L38"/>
    <mergeCell ref="M37:P38"/>
    <mergeCell ref="B39:D40"/>
    <mergeCell ref="E39:H40"/>
    <mergeCell ref="I39:L40"/>
    <mergeCell ref="M39:P40"/>
    <mergeCell ref="B35:D35"/>
    <mergeCell ref="E35:F35"/>
    <mergeCell ref="G35:H35"/>
    <mergeCell ref="I35:J35"/>
    <mergeCell ref="K35:L35"/>
    <mergeCell ref="M35:N35"/>
    <mergeCell ref="M33:N33"/>
    <mergeCell ref="O33:P33"/>
    <mergeCell ref="B34:D34"/>
    <mergeCell ref="E34:F34"/>
    <mergeCell ref="G34:H34"/>
    <mergeCell ref="I34:J34"/>
    <mergeCell ref="K34:L34"/>
    <mergeCell ref="M34:N34"/>
    <mergeCell ref="O34:P34"/>
    <mergeCell ref="G32:H32"/>
    <mergeCell ref="I32:J32"/>
    <mergeCell ref="K32:L32"/>
    <mergeCell ref="M32:N32"/>
    <mergeCell ref="O32:P32"/>
    <mergeCell ref="B33:D33"/>
    <mergeCell ref="E33:F33"/>
    <mergeCell ref="G33:H33"/>
    <mergeCell ref="I33:J33"/>
    <mergeCell ref="K33:L33"/>
    <mergeCell ref="O30:P30"/>
    <mergeCell ref="A31:A35"/>
    <mergeCell ref="B31:D31"/>
    <mergeCell ref="I31:J31"/>
    <mergeCell ref="K31:L31"/>
    <mergeCell ref="M31:N31"/>
    <mergeCell ref="O31:P31"/>
    <mergeCell ref="B32:D32"/>
    <mergeCell ref="E32:F32"/>
    <mergeCell ref="B30:D30"/>
    <mergeCell ref="E30:F30"/>
    <mergeCell ref="G30:H30"/>
    <mergeCell ref="I30:J30"/>
    <mergeCell ref="K30:L30"/>
    <mergeCell ref="M30:N30"/>
    <mergeCell ref="M28:N28"/>
    <mergeCell ref="O28:P28"/>
    <mergeCell ref="B29:D29"/>
    <mergeCell ref="E29:F29"/>
    <mergeCell ref="G29:H29"/>
    <mergeCell ref="I29:J29"/>
    <mergeCell ref="K29:L29"/>
    <mergeCell ref="M29:N29"/>
    <mergeCell ref="O29:P29"/>
    <mergeCell ref="G27:H27"/>
    <mergeCell ref="I27:J27"/>
    <mergeCell ref="K27:L27"/>
    <mergeCell ref="M27:N27"/>
    <mergeCell ref="O27:P27"/>
    <mergeCell ref="B28:D28"/>
    <mergeCell ref="E28:F28"/>
    <mergeCell ref="G28:H28"/>
    <mergeCell ref="I28:J28"/>
    <mergeCell ref="K28:L28"/>
    <mergeCell ref="O25:P25"/>
    <mergeCell ref="A26:A30"/>
    <mergeCell ref="B26:D26"/>
    <mergeCell ref="I26:J26"/>
    <mergeCell ref="K26:L26"/>
    <mergeCell ref="M26:N26"/>
    <mergeCell ref="O26:P26"/>
    <mergeCell ref="B27:D27"/>
    <mergeCell ref="E27:F27"/>
    <mergeCell ref="B25:D25"/>
    <mergeCell ref="E25:F25"/>
    <mergeCell ref="G25:H25"/>
    <mergeCell ref="I25:J25"/>
    <mergeCell ref="K25:L25"/>
    <mergeCell ref="M25:N25"/>
    <mergeCell ref="K23:L23"/>
    <mergeCell ref="M23:N23"/>
    <mergeCell ref="O23:P23"/>
    <mergeCell ref="B24:D24"/>
    <mergeCell ref="E24:F24"/>
    <mergeCell ref="G24:H24"/>
    <mergeCell ref="I24:J24"/>
    <mergeCell ref="K24:L24"/>
    <mergeCell ref="M24:N24"/>
    <mergeCell ref="O24:P24"/>
    <mergeCell ref="O21:P21"/>
    <mergeCell ref="B22:D22"/>
    <mergeCell ref="E22:F22"/>
    <mergeCell ref="G22:H22"/>
    <mergeCell ref="I22:J22"/>
    <mergeCell ref="K22:L22"/>
    <mergeCell ref="M22:N22"/>
    <mergeCell ref="O22:P22"/>
    <mergeCell ref="E21:F21"/>
    <mergeCell ref="A21:A25"/>
    <mergeCell ref="B21:D21"/>
    <mergeCell ref="I21:J21"/>
    <mergeCell ref="K21:L21"/>
    <mergeCell ref="M21:N21"/>
    <mergeCell ref="B23:D23"/>
    <mergeCell ref="E23:F23"/>
    <mergeCell ref="G23:H23"/>
    <mergeCell ref="I23:J23"/>
    <mergeCell ref="B20:D20"/>
    <mergeCell ref="E20:H20"/>
    <mergeCell ref="I20:L20"/>
    <mergeCell ref="M20:N20"/>
    <mergeCell ref="O20:P20"/>
    <mergeCell ref="B10:D10"/>
    <mergeCell ref="E10:G10"/>
    <mergeCell ref="H10:J10"/>
    <mergeCell ref="K10:M10"/>
    <mergeCell ref="N10:P10"/>
    <mergeCell ref="B11:D11"/>
    <mergeCell ref="E11:G11"/>
    <mergeCell ref="H11:J11"/>
    <mergeCell ref="K11:M11"/>
    <mergeCell ref="N11:P11"/>
    <mergeCell ref="A1:P1"/>
    <mergeCell ref="N2:P4"/>
    <mergeCell ref="D5:G5"/>
    <mergeCell ref="D6:G6"/>
    <mergeCell ref="B9:D9"/>
    <mergeCell ref="E9:G9"/>
    <mergeCell ref="H9:J9"/>
    <mergeCell ref="K9:M9"/>
    <mergeCell ref="N9:P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38BD4-4B19-43E8-B75F-A22E456033A7}">
  <dimension ref="A1:AL43"/>
  <sheetViews>
    <sheetView topLeftCell="A19" zoomScale="70" zoomScaleNormal="70" workbookViewId="0">
      <selection activeCell="I41" sqref="A37:L42"/>
    </sheetView>
  </sheetViews>
  <sheetFormatPr baseColWidth="10" defaultRowHeight="15" x14ac:dyDescent="0.25"/>
  <cols>
    <col min="1" max="1" width="22.140625" style="2" customWidth="1"/>
    <col min="2" max="13" width="11.42578125" style="2"/>
    <col min="14" max="14" width="14.140625" style="2" customWidth="1"/>
    <col min="15" max="16384" width="11.42578125" style="2"/>
  </cols>
  <sheetData>
    <row r="1" spans="1:38" ht="26.25" x14ac:dyDescent="0.4">
      <c r="A1" s="16" t="s">
        <v>59</v>
      </c>
      <c r="B1" s="16"/>
      <c r="C1" s="16"/>
      <c r="D1" s="16"/>
      <c r="E1" s="16"/>
      <c r="F1" s="16"/>
      <c r="G1" s="16"/>
      <c r="H1" s="16"/>
      <c r="I1" s="16"/>
      <c r="J1" s="16"/>
      <c r="K1" s="16"/>
      <c r="L1" s="16"/>
      <c r="M1" s="16"/>
      <c r="N1" s="16"/>
      <c r="O1" s="16"/>
      <c r="P1" s="16"/>
    </row>
    <row r="2" spans="1:38" x14ac:dyDescent="0.25">
      <c r="A2" s="17"/>
      <c r="B2" s="17"/>
      <c r="C2" s="17"/>
      <c r="D2" s="17"/>
      <c r="E2" s="17"/>
      <c r="F2" s="17"/>
      <c r="G2" s="17"/>
      <c r="H2" s="17"/>
      <c r="I2" s="17"/>
      <c r="J2" s="17"/>
      <c r="K2" s="18"/>
      <c r="L2" s="19"/>
      <c r="M2" s="81"/>
      <c r="N2" s="74" t="s">
        <v>111</v>
      </c>
      <c r="O2" s="75"/>
      <c r="P2" s="76"/>
    </row>
    <row r="3" spans="1:38" ht="20.25" x14ac:dyDescent="0.25">
      <c r="A3" s="17"/>
      <c r="B3" s="17"/>
      <c r="C3" s="17"/>
      <c r="D3" s="17"/>
      <c r="E3" s="17"/>
      <c r="F3" s="17"/>
      <c r="G3" s="17"/>
      <c r="H3" s="17"/>
      <c r="I3" s="17"/>
      <c r="J3" s="17"/>
      <c r="K3" s="20"/>
      <c r="L3" s="21" t="s">
        <v>60</v>
      </c>
      <c r="M3" s="82" t="s">
        <v>116</v>
      </c>
      <c r="N3" s="77"/>
      <c r="O3" s="77"/>
      <c r="P3" s="78"/>
    </row>
    <row r="4" spans="1:38" x14ac:dyDescent="0.25">
      <c r="A4" s="17"/>
      <c r="B4" s="17"/>
      <c r="C4" s="17"/>
      <c r="D4" s="18"/>
      <c r="E4" s="19"/>
      <c r="F4" s="19"/>
      <c r="G4" s="19"/>
      <c r="H4" s="19"/>
      <c r="I4" s="19"/>
      <c r="J4" s="22"/>
      <c r="K4" s="23"/>
      <c r="L4" s="23"/>
      <c r="M4" s="83"/>
      <c r="N4" s="79"/>
      <c r="O4" s="79"/>
      <c r="P4" s="80"/>
    </row>
    <row r="5" spans="1:38" ht="18.75" thickBot="1" x14ac:dyDescent="0.3">
      <c r="A5" s="17"/>
      <c r="B5" s="17"/>
      <c r="C5" s="17"/>
      <c r="D5" s="24" t="s">
        <v>61</v>
      </c>
      <c r="E5" s="25"/>
      <c r="F5" s="25"/>
      <c r="G5" s="25"/>
      <c r="H5" s="26">
        <v>0.14000000000000001</v>
      </c>
      <c r="I5" s="21"/>
      <c r="J5" s="27"/>
      <c r="K5" s="17"/>
      <c r="L5" s="17"/>
      <c r="M5" s="17"/>
      <c r="N5" s="17"/>
      <c r="O5" s="17"/>
      <c r="P5" s="17"/>
    </row>
    <row r="6" spans="1:38" ht="23.25" thickBot="1" x14ac:dyDescent="0.3">
      <c r="A6" s="17"/>
      <c r="B6" s="17"/>
      <c r="C6" s="17"/>
      <c r="D6" s="28" t="s">
        <v>62</v>
      </c>
      <c r="E6" s="29"/>
      <c r="F6" s="29"/>
      <c r="G6" s="29"/>
      <c r="H6" s="30">
        <v>18.5</v>
      </c>
      <c r="I6" s="21"/>
      <c r="J6" s="27"/>
      <c r="K6" s="17"/>
      <c r="M6" s="84" t="s">
        <v>93</v>
      </c>
      <c r="N6" s="90">
        <f>12/14</f>
        <v>0.8571428571428571</v>
      </c>
      <c r="P6" s="17"/>
    </row>
    <row r="7" spans="1:38" x14ac:dyDescent="0.25">
      <c r="A7" s="17"/>
      <c r="B7" s="17"/>
      <c r="C7" s="17"/>
      <c r="D7" s="31"/>
      <c r="E7" s="23"/>
      <c r="F7" s="23"/>
      <c r="G7" s="23"/>
      <c r="H7" s="23"/>
      <c r="I7" s="23"/>
      <c r="J7" s="32"/>
      <c r="K7" s="17"/>
      <c r="L7" s="17"/>
      <c r="M7" s="17"/>
      <c r="N7" s="17"/>
      <c r="O7" s="17"/>
      <c r="P7" s="17"/>
    </row>
    <row r="8" spans="1:38" ht="15.75" thickBot="1" x14ac:dyDescent="0.3">
      <c r="A8" s="17"/>
      <c r="B8" s="17"/>
      <c r="C8" s="17"/>
      <c r="D8" s="17"/>
      <c r="E8" s="17"/>
      <c r="F8" s="17"/>
      <c r="G8" s="17"/>
      <c r="H8" s="17"/>
      <c r="I8" s="17"/>
      <c r="J8" s="17"/>
      <c r="K8" s="17"/>
      <c r="L8" s="17"/>
      <c r="M8" s="17"/>
      <c r="N8" s="17"/>
      <c r="O8" s="17"/>
      <c r="P8" s="17"/>
    </row>
    <row r="9" spans="1:38" ht="18.75" x14ac:dyDescent="0.25">
      <c r="A9" s="33" t="s">
        <v>63</v>
      </c>
      <c r="B9" s="34" t="s">
        <v>113</v>
      </c>
      <c r="C9" s="34"/>
      <c r="D9" s="34"/>
      <c r="E9" s="34" t="s">
        <v>114</v>
      </c>
      <c r="F9" s="34"/>
      <c r="G9" s="34"/>
      <c r="H9" s="34" t="s">
        <v>115</v>
      </c>
      <c r="I9" s="34"/>
      <c r="J9" s="34"/>
      <c r="K9" s="34" t="s">
        <v>117</v>
      </c>
      <c r="L9" s="34"/>
      <c r="M9" s="34"/>
      <c r="N9" s="34" t="s">
        <v>118</v>
      </c>
      <c r="O9" s="34"/>
      <c r="P9" s="35"/>
      <c r="R9" s="89"/>
      <c r="S9" s="89"/>
      <c r="T9" s="89"/>
      <c r="U9" s="89"/>
      <c r="V9" s="89"/>
    </row>
    <row r="10" spans="1:38" ht="18" x14ac:dyDescent="0.25">
      <c r="A10" s="36"/>
      <c r="B10" s="37" t="s">
        <v>64</v>
      </c>
      <c r="C10" s="37"/>
      <c r="D10" s="37"/>
      <c r="E10" s="37" t="s">
        <v>65</v>
      </c>
      <c r="F10" s="37"/>
      <c r="G10" s="37"/>
      <c r="H10" s="37" t="s">
        <v>66</v>
      </c>
      <c r="I10" s="37"/>
      <c r="J10" s="37"/>
      <c r="K10" s="37" t="s">
        <v>67</v>
      </c>
      <c r="L10" s="37"/>
      <c r="M10" s="37"/>
      <c r="N10" s="37" t="s">
        <v>68</v>
      </c>
      <c r="O10" s="37"/>
      <c r="P10" s="38"/>
    </row>
    <row r="11" spans="1:38" x14ac:dyDescent="0.25">
      <c r="A11" s="36"/>
      <c r="B11" s="91" t="s">
        <v>122</v>
      </c>
      <c r="C11" s="91"/>
      <c r="D11" s="91"/>
      <c r="E11" s="91" t="s">
        <v>122</v>
      </c>
      <c r="F11" s="91"/>
      <c r="G11" s="91"/>
      <c r="H11" s="91" t="s">
        <v>122</v>
      </c>
      <c r="I11" s="91"/>
      <c r="J11" s="91"/>
      <c r="K11" s="91" t="s">
        <v>122</v>
      </c>
      <c r="L11" s="91"/>
      <c r="M11" s="91"/>
      <c r="N11" s="91" t="s">
        <v>122</v>
      </c>
      <c r="O11" s="91"/>
      <c r="P11" s="92"/>
    </row>
    <row r="12" spans="1:38" ht="18" x14ac:dyDescent="0.25">
      <c r="A12" s="36" t="s">
        <v>69</v>
      </c>
      <c r="B12" s="39" t="s">
        <v>70</v>
      </c>
      <c r="C12" s="39" t="s">
        <v>71</v>
      </c>
      <c r="D12" s="39" t="s">
        <v>72</v>
      </c>
      <c r="E12" s="39" t="s">
        <v>70</v>
      </c>
      <c r="F12" s="39" t="s">
        <v>71</v>
      </c>
      <c r="G12" s="39" t="s">
        <v>72</v>
      </c>
      <c r="H12" s="39" t="s">
        <v>70</v>
      </c>
      <c r="I12" s="39" t="s">
        <v>71</v>
      </c>
      <c r="J12" s="39" t="s">
        <v>72</v>
      </c>
      <c r="K12" s="39" t="s">
        <v>70</v>
      </c>
      <c r="L12" s="39" t="s">
        <v>71</v>
      </c>
      <c r="M12" s="39" t="s">
        <v>72</v>
      </c>
      <c r="N12" s="39" t="s">
        <v>70</v>
      </c>
      <c r="O12" s="39" t="s">
        <v>71</v>
      </c>
      <c r="P12" s="40" t="s">
        <v>72</v>
      </c>
    </row>
    <row r="13" spans="1:38" ht="18" x14ac:dyDescent="0.25">
      <c r="A13" s="36" t="s">
        <v>73</v>
      </c>
      <c r="B13" s="39"/>
      <c r="C13" s="39"/>
      <c r="D13" s="39"/>
      <c r="E13" s="39" t="s">
        <v>119</v>
      </c>
      <c r="F13" s="39"/>
      <c r="G13" s="39">
        <v>2</v>
      </c>
      <c r="H13" s="39">
        <v>2</v>
      </c>
      <c r="I13" s="39">
        <v>1</v>
      </c>
      <c r="J13" s="39">
        <v>1</v>
      </c>
      <c r="K13" s="39" t="s">
        <v>121</v>
      </c>
      <c r="L13" s="39"/>
      <c r="M13" s="39"/>
      <c r="N13" s="39"/>
      <c r="O13" s="39"/>
      <c r="P13" s="40"/>
      <c r="R13" s="95"/>
      <c r="S13" s="95"/>
      <c r="T13" s="95"/>
      <c r="U13" s="95"/>
      <c r="V13" s="95"/>
      <c r="W13" s="95"/>
      <c r="X13" s="95"/>
      <c r="Y13" s="95"/>
      <c r="Z13" s="95"/>
      <c r="AA13" s="95"/>
      <c r="AB13" s="95"/>
      <c r="AC13" s="95"/>
      <c r="AD13" s="95"/>
      <c r="AE13" s="95"/>
      <c r="AF13" s="95"/>
      <c r="AG13" s="95"/>
    </row>
    <row r="14" spans="1:38" ht="18" x14ac:dyDescent="0.25">
      <c r="A14" s="36" t="s">
        <v>74</v>
      </c>
      <c r="B14" s="39"/>
      <c r="C14" s="39"/>
      <c r="D14" s="39"/>
      <c r="E14" s="39"/>
      <c r="F14" s="39"/>
      <c r="G14" s="39"/>
      <c r="H14" s="39"/>
      <c r="I14" s="39"/>
      <c r="J14" s="39"/>
      <c r="K14" s="39">
        <v>2</v>
      </c>
      <c r="L14" s="39"/>
      <c r="M14" s="39"/>
      <c r="N14" s="39" t="s">
        <v>121</v>
      </c>
      <c r="O14" s="39"/>
      <c r="P14" s="40"/>
      <c r="R14" s="95"/>
      <c r="S14" s="95"/>
      <c r="T14" s="95"/>
      <c r="U14" s="95"/>
      <c r="V14" s="95"/>
      <c r="W14" s="95"/>
      <c r="X14" s="95"/>
      <c r="Y14" s="95"/>
      <c r="Z14" s="95"/>
      <c r="AA14" s="95"/>
      <c r="AB14" s="95"/>
      <c r="AC14" s="95"/>
      <c r="AD14" s="95"/>
      <c r="AE14" s="95"/>
      <c r="AF14" s="95"/>
      <c r="AG14" s="95"/>
      <c r="AL14" s="2" t="s">
        <v>123</v>
      </c>
    </row>
    <row r="15" spans="1:38" ht="18" x14ac:dyDescent="0.25">
      <c r="A15" s="36" t="s">
        <v>75</v>
      </c>
      <c r="B15" s="39"/>
      <c r="C15" s="39"/>
      <c r="D15" s="39"/>
      <c r="E15" s="39"/>
      <c r="F15" s="39"/>
      <c r="G15" s="39"/>
      <c r="H15" s="39"/>
      <c r="I15" s="39"/>
      <c r="J15" s="39"/>
      <c r="K15" s="39"/>
      <c r="L15" s="39">
        <v>2</v>
      </c>
      <c r="M15" s="39">
        <v>2</v>
      </c>
      <c r="N15" s="39"/>
      <c r="O15" s="39"/>
      <c r="P15" s="40"/>
      <c r="R15" s="95"/>
      <c r="S15" s="95"/>
      <c r="T15" s="95"/>
      <c r="U15" s="95"/>
      <c r="V15" s="95"/>
      <c r="W15" s="95"/>
      <c r="X15" s="95"/>
      <c r="Y15" s="95"/>
      <c r="Z15" s="95"/>
      <c r="AA15" s="95"/>
      <c r="AB15" s="95"/>
      <c r="AC15" s="95"/>
      <c r="AD15" s="95"/>
      <c r="AE15" s="95"/>
      <c r="AF15" s="95"/>
      <c r="AG15" s="95"/>
    </row>
    <row r="16" spans="1:38" ht="18" x14ac:dyDescent="0.25">
      <c r="A16" s="36" t="s">
        <v>76</v>
      </c>
      <c r="B16" s="39" t="s">
        <v>120</v>
      </c>
      <c r="C16" s="39" t="s">
        <v>120</v>
      </c>
      <c r="D16" s="39"/>
      <c r="E16" s="39"/>
      <c r="F16" s="39"/>
      <c r="G16" s="39"/>
      <c r="H16" s="39"/>
      <c r="I16" s="39"/>
      <c r="J16" s="39"/>
      <c r="K16" s="39">
        <v>1</v>
      </c>
      <c r="L16" s="39"/>
      <c r="M16" s="39"/>
      <c r="N16" s="39"/>
      <c r="O16" s="39"/>
      <c r="P16" s="40"/>
      <c r="R16" s="95"/>
      <c r="S16" s="95"/>
      <c r="T16" s="95"/>
      <c r="U16" s="95"/>
      <c r="V16" s="95"/>
      <c r="W16" s="95"/>
      <c r="X16" s="95"/>
      <c r="Y16" s="95"/>
      <c r="Z16" s="95"/>
      <c r="AA16" s="95"/>
      <c r="AB16" s="95"/>
      <c r="AC16" s="95"/>
      <c r="AD16" s="95"/>
      <c r="AE16" s="95"/>
      <c r="AF16" s="95"/>
      <c r="AG16" s="95"/>
    </row>
    <row r="17" spans="1:33" ht="18" x14ac:dyDescent="0.25">
      <c r="A17" s="36" t="s">
        <v>77</v>
      </c>
      <c r="B17" s="39"/>
      <c r="C17" s="39"/>
      <c r="D17" s="39"/>
      <c r="E17" s="39">
        <v>2</v>
      </c>
      <c r="F17" s="39">
        <v>2</v>
      </c>
      <c r="G17" s="39"/>
      <c r="H17" s="39">
        <v>1</v>
      </c>
      <c r="I17" s="39">
        <v>1</v>
      </c>
      <c r="J17" s="39"/>
      <c r="K17" s="39"/>
      <c r="L17" s="39"/>
      <c r="M17" s="39"/>
      <c r="N17" s="39"/>
      <c r="O17" s="39"/>
      <c r="P17" s="40"/>
      <c r="R17" s="95"/>
      <c r="S17" s="95"/>
      <c r="T17" s="95"/>
      <c r="U17" s="95"/>
      <c r="V17" s="95"/>
      <c r="W17" s="95"/>
      <c r="X17" s="95"/>
      <c r="Y17" s="95"/>
      <c r="Z17" s="95"/>
      <c r="AA17" s="95"/>
      <c r="AB17" s="95"/>
      <c r="AC17" s="95"/>
      <c r="AD17" s="95"/>
      <c r="AE17" s="95"/>
      <c r="AF17" s="95"/>
      <c r="AG17" s="95"/>
    </row>
    <row r="18" spans="1:33" ht="43.5" thickBot="1" x14ac:dyDescent="0.3">
      <c r="A18" s="41" t="s">
        <v>78</v>
      </c>
      <c r="B18" s="42" t="s">
        <v>125</v>
      </c>
      <c r="C18" s="42" t="s">
        <v>125</v>
      </c>
      <c r="D18" s="42"/>
      <c r="E18" s="42" t="s">
        <v>126</v>
      </c>
      <c r="F18" s="42" t="s">
        <v>126</v>
      </c>
      <c r="G18" s="42"/>
      <c r="H18" s="42" t="s">
        <v>126</v>
      </c>
      <c r="I18" s="42" t="s">
        <v>126</v>
      </c>
      <c r="J18" s="42" t="s">
        <v>126</v>
      </c>
      <c r="K18" s="42" t="s">
        <v>124</v>
      </c>
      <c r="L18" s="42" t="s">
        <v>126</v>
      </c>
      <c r="M18" s="42" t="s">
        <v>126</v>
      </c>
      <c r="N18" s="42"/>
      <c r="O18" s="42"/>
      <c r="P18" s="96"/>
      <c r="R18" s="95"/>
      <c r="S18" s="95"/>
      <c r="T18" s="95"/>
      <c r="U18" s="95"/>
      <c r="V18" s="95"/>
      <c r="W18" s="95"/>
      <c r="X18" s="95"/>
      <c r="Y18" s="95"/>
      <c r="Z18" s="95"/>
      <c r="AA18" s="95"/>
      <c r="AB18" s="95"/>
      <c r="AC18" s="95"/>
      <c r="AD18" s="95"/>
      <c r="AE18" s="95"/>
      <c r="AF18" s="95"/>
      <c r="AG18" s="95"/>
    </row>
    <row r="19" spans="1:33" ht="15.75" thickBot="1" x14ac:dyDescent="0.3">
      <c r="A19" s="17"/>
      <c r="B19" s="17"/>
      <c r="C19" s="17"/>
      <c r="D19" s="17"/>
      <c r="E19" s="17"/>
      <c r="F19" s="17"/>
      <c r="G19" s="17"/>
      <c r="H19" s="17"/>
      <c r="I19" s="17"/>
      <c r="J19" s="17"/>
      <c r="K19" s="17"/>
      <c r="L19" s="17"/>
      <c r="M19" s="17"/>
      <c r="N19" s="17"/>
      <c r="O19" s="17"/>
      <c r="P19" s="17"/>
      <c r="R19" s="95"/>
      <c r="S19" s="95"/>
      <c r="T19" s="95"/>
      <c r="U19" s="95"/>
      <c r="V19" s="95"/>
      <c r="W19" s="95"/>
      <c r="X19" s="95"/>
      <c r="Y19" s="95"/>
      <c r="Z19" s="95"/>
      <c r="AA19" s="95"/>
      <c r="AB19" s="95"/>
      <c r="AC19" s="95"/>
      <c r="AD19" s="95"/>
      <c r="AE19" s="95"/>
      <c r="AF19" s="95"/>
      <c r="AG19" s="95"/>
    </row>
    <row r="20" spans="1:33" ht="21" thickBot="1" x14ac:dyDescent="0.3">
      <c r="A20" s="88"/>
      <c r="B20" s="44" t="s">
        <v>79</v>
      </c>
      <c r="C20" s="45"/>
      <c r="D20" s="46"/>
      <c r="E20" s="47" t="s">
        <v>127</v>
      </c>
      <c r="F20" s="60"/>
      <c r="G20" s="60"/>
      <c r="H20" s="48"/>
      <c r="I20" s="47" t="s">
        <v>128</v>
      </c>
      <c r="J20" s="60"/>
      <c r="K20" s="60"/>
      <c r="L20" s="48"/>
      <c r="M20" s="86"/>
      <c r="N20" s="86"/>
      <c r="O20" s="86"/>
      <c r="P20" s="86"/>
      <c r="R20" s="95"/>
      <c r="S20" s="95"/>
      <c r="T20" s="95"/>
      <c r="U20" s="95"/>
      <c r="V20" s="95"/>
      <c r="W20" s="95"/>
      <c r="X20" s="95"/>
      <c r="Y20" s="95"/>
      <c r="Z20" s="95"/>
      <c r="AA20" s="95"/>
      <c r="AB20" s="95"/>
      <c r="AC20" s="95"/>
      <c r="AD20" s="95"/>
      <c r="AE20" s="95"/>
      <c r="AF20" s="95"/>
      <c r="AG20" s="95"/>
    </row>
    <row r="21" spans="1:33" ht="20.25" customHeight="1" x14ac:dyDescent="0.25">
      <c r="A21" s="49" t="s">
        <v>80</v>
      </c>
      <c r="B21" s="50" t="s">
        <v>81</v>
      </c>
      <c r="C21" s="51"/>
      <c r="D21" s="52"/>
      <c r="E21" s="53">
        <v>0.03</v>
      </c>
      <c r="F21" s="97"/>
      <c r="G21" s="85"/>
      <c r="H21" s="54"/>
      <c r="I21" s="50">
        <v>0.45</v>
      </c>
      <c r="J21" s="51"/>
      <c r="K21" s="51"/>
      <c r="L21" s="52"/>
      <c r="M21" s="86"/>
      <c r="N21" s="86"/>
      <c r="O21" s="86"/>
      <c r="P21" s="86"/>
      <c r="R21" s="95"/>
      <c r="S21" s="95"/>
      <c r="T21" s="95"/>
      <c r="U21" s="95"/>
      <c r="V21" s="95"/>
      <c r="W21" s="95"/>
      <c r="X21" s="95"/>
      <c r="Y21" s="95"/>
      <c r="Z21" s="95"/>
      <c r="AA21" s="95"/>
      <c r="AB21" s="95"/>
      <c r="AC21" s="95"/>
      <c r="AD21" s="95"/>
      <c r="AE21" s="95"/>
      <c r="AF21" s="95"/>
      <c r="AG21" s="95"/>
    </row>
    <row r="22" spans="1:33" ht="20.25" customHeight="1" x14ac:dyDescent="0.25">
      <c r="A22" s="55"/>
      <c r="B22" s="50" t="s">
        <v>82</v>
      </c>
      <c r="C22" s="51"/>
      <c r="D22" s="52"/>
      <c r="E22" s="53">
        <v>0.3</v>
      </c>
      <c r="F22" s="97"/>
      <c r="G22" s="51"/>
      <c r="H22" s="52"/>
      <c r="I22" s="50">
        <v>0.3</v>
      </c>
      <c r="J22" s="51"/>
      <c r="K22" s="51"/>
      <c r="L22" s="52"/>
      <c r="M22" s="86"/>
      <c r="N22" s="86"/>
      <c r="O22" s="86"/>
      <c r="P22" s="86"/>
      <c r="R22" s="95"/>
      <c r="S22" s="95"/>
      <c r="T22" s="95"/>
      <c r="U22" s="95"/>
      <c r="V22" s="95"/>
      <c r="W22" s="95"/>
      <c r="X22" s="95"/>
      <c r="Y22" s="95"/>
      <c r="Z22" s="95"/>
      <c r="AA22" s="95"/>
      <c r="AB22" s="95"/>
      <c r="AC22" s="95"/>
      <c r="AD22" s="95"/>
      <c r="AE22" s="95"/>
      <c r="AF22" s="95"/>
      <c r="AG22" s="95"/>
    </row>
    <row r="23" spans="1:33" ht="20.25" customHeight="1" x14ac:dyDescent="0.25">
      <c r="A23" s="55"/>
      <c r="B23" s="50" t="s">
        <v>83</v>
      </c>
      <c r="C23" s="51"/>
      <c r="D23" s="52"/>
      <c r="E23" s="53">
        <v>5</v>
      </c>
      <c r="F23" s="97"/>
      <c r="G23" s="51"/>
      <c r="H23" s="52"/>
      <c r="I23" s="50">
        <v>5</v>
      </c>
      <c r="J23" s="51"/>
      <c r="K23" s="51"/>
      <c r="L23" s="52"/>
      <c r="M23" s="86"/>
      <c r="N23" s="86"/>
      <c r="O23" s="86"/>
      <c r="P23" s="86"/>
    </row>
    <row r="24" spans="1:33" ht="20.25" x14ac:dyDescent="0.25">
      <c r="A24" s="55"/>
      <c r="B24" s="50" t="s">
        <v>84</v>
      </c>
      <c r="C24" s="51"/>
      <c r="D24" s="52"/>
      <c r="E24" s="53">
        <v>8</v>
      </c>
      <c r="F24" s="97"/>
      <c r="G24" s="51"/>
      <c r="H24" s="52"/>
      <c r="I24" s="50">
        <v>9</v>
      </c>
      <c r="J24" s="51"/>
      <c r="K24" s="51"/>
      <c r="L24" s="52"/>
      <c r="M24" s="86"/>
      <c r="N24" s="86"/>
      <c r="O24" s="86"/>
      <c r="P24" s="86"/>
    </row>
    <row r="25" spans="1:33" ht="21" thickBot="1" x14ac:dyDescent="0.3">
      <c r="A25" s="56"/>
      <c r="B25" s="57" t="s">
        <v>85</v>
      </c>
      <c r="C25" s="58"/>
      <c r="D25" s="59"/>
      <c r="E25" s="98">
        <v>125</v>
      </c>
      <c r="F25" s="99"/>
      <c r="G25" s="58"/>
      <c r="H25" s="59"/>
      <c r="I25" s="57">
        <v>175</v>
      </c>
      <c r="J25" s="58"/>
      <c r="K25" s="58"/>
      <c r="L25" s="59"/>
      <c r="M25" s="86"/>
      <c r="N25" s="86"/>
      <c r="O25" s="86"/>
      <c r="P25" s="86"/>
    </row>
    <row r="26" spans="1:33" ht="20.25" customHeight="1" x14ac:dyDescent="0.25">
      <c r="A26" s="49" t="s">
        <v>86</v>
      </c>
      <c r="B26" s="50" t="s">
        <v>81</v>
      </c>
      <c r="C26" s="51"/>
      <c r="D26" s="52"/>
      <c r="E26" s="50">
        <v>6.5000000000000002E-2</v>
      </c>
      <c r="F26" s="51"/>
      <c r="G26" s="51"/>
      <c r="H26" s="52"/>
      <c r="I26" s="50">
        <v>9.5000000000000001E-2</v>
      </c>
      <c r="J26" s="51"/>
      <c r="K26" s="51"/>
      <c r="L26" s="52"/>
      <c r="M26" s="86"/>
      <c r="N26" s="86"/>
      <c r="O26" s="86"/>
      <c r="P26" s="86"/>
    </row>
    <row r="27" spans="1:33" ht="20.25" customHeight="1" x14ac:dyDescent="0.25">
      <c r="A27" s="55"/>
      <c r="B27" s="50" t="s">
        <v>82</v>
      </c>
      <c r="C27" s="51"/>
      <c r="D27" s="52"/>
      <c r="E27" s="50">
        <v>0.3</v>
      </c>
      <c r="F27" s="51"/>
      <c r="G27" s="51"/>
      <c r="H27" s="52"/>
      <c r="I27" s="50">
        <v>0.3</v>
      </c>
      <c r="J27" s="51"/>
      <c r="K27" s="51"/>
      <c r="L27" s="52"/>
      <c r="M27" s="86"/>
      <c r="N27" s="86"/>
      <c r="O27" s="86"/>
      <c r="P27" s="86"/>
    </row>
    <row r="28" spans="1:33" ht="20.25" x14ac:dyDescent="0.25">
      <c r="A28" s="55"/>
      <c r="B28" s="50" t="s">
        <v>83</v>
      </c>
      <c r="C28" s="51"/>
      <c r="D28" s="52"/>
      <c r="E28" s="50">
        <v>5</v>
      </c>
      <c r="F28" s="51"/>
      <c r="G28" s="51"/>
      <c r="H28" s="52"/>
      <c r="I28" s="50">
        <v>5</v>
      </c>
      <c r="J28" s="51"/>
      <c r="K28" s="51"/>
      <c r="L28" s="52"/>
      <c r="M28" s="86"/>
      <c r="N28" s="86"/>
      <c r="O28" s="86"/>
      <c r="P28" s="86"/>
    </row>
    <row r="29" spans="1:33" ht="20.25" x14ac:dyDescent="0.25">
      <c r="A29" s="55"/>
      <c r="B29" s="50" t="s">
        <v>84</v>
      </c>
      <c r="C29" s="51"/>
      <c r="D29" s="52"/>
      <c r="E29" s="50">
        <v>6</v>
      </c>
      <c r="F29" s="51"/>
      <c r="G29" s="51"/>
      <c r="H29" s="52"/>
      <c r="I29" s="50">
        <v>5</v>
      </c>
      <c r="J29" s="51"/>
      <c r="K29" s="51"/>
      <c r="L29" s="52"/>
      <c r="M29" s="86"/>
      <c r="N29" s="86"/>
      <c r="O29" s="86"/>
      <c r="P29" s="86"/>
    </row>
    <row r="30" spans="1:33" ht="21" thickBot="1" x14ac:dyDescent="0.3">
      <c r="A30" s="56"/>
      <c r="B30" s="57" t="s">
        <v>85</v>
      </c>
      <c r="C30" s="58"/>
      <c r="D30" s="59"/>
      <c r="E30" s="57">
        <v>315</v>
      </c>
      <c r="F30" s="58"/>
      <c r="G30" s="58"/>
      <c r="H30" s="59"/>
      <c r="I30" s="57">
        <v>275</v>
      </c>
      <c r="J30" s="58"/>
      <c r="K30" s="58"/>
      <c r="L30" s="59"/>
      <c r="M30" s="86"/>
      <c r="N30" s="86"/>
      <c r="O30" s="86"/>
      <c r="P30" s="86"/>
    </row>
    <row r="31" spans="1:33" ht="20.25" customHeight="1" x14ac:dyDescent="0.25">
      <c r="A31" s="49" t="s">
        <v>87</v>
      </c>
      <c r="B31" s="50" t="s">
        <v>81</v>
      </c>
      <c r="C31" s="51"/>
      <c r="D31" s="52"/>
      <c r="E31" s="50">
        <v>0.1</v>
      </c>
      <c r="F31" s="51"/>
      <c r="G31" s="51"/>
      <c r="H31" s="52"/>
      <c r="I31" s="50">
        <v>0.15</v>
      </c>
      <c r="J31" s="51"/>
      <c r="K31" s="51"/>
      <c r="L31" s="52"/>
      <c r="M31" s="86"/>
      <c r="N31" s="86"/>
      <c r="O31" s="86"/>
      <c r="P31" s="86"/>
    </row>
    <row r="32" spans="1:33" ht="20.25" customHeight="1" x14ac:dyDescent="0.25">
      <c r="A32" s="55"/>
      <c r="B32" s="50" t="s">
        <v>82</v>
      </c>
      <c r="C32" s="51"/>
      <c r="D32" s="52"/>
      <c r="E32" s="50">
        <v>0.2</v>
      </c>
      <c r="F32" s="51"/>
      <c r="G32" s="51"/>
      <c r="H32" s="52"/>
      <c r="I32" s="50">
        <v>0.3</v>
      </c>
      <c r="J32" s="51"/>
      <c r="K32" s="51"/>
      <c r="L32" s="52"/>
      <c r="M32" s="86"/>
      <c r="N32" s="86"/>
      <c r="O32" s="86"/>
      <c r="P32" s="86"/>
    </row>
    <row r="33" spans="1:16" ht="20.25" x14ac:dyDescent="0.25">
      <c r="A33" s="55"/>
      <c r="B33" s="50" t="s">
        <v>83</v>
      </c>
      <c r="C33" s="51"/>
      <c r="D33" s="52"/>
      <c r="E33" s="50">
        <v>2</v>
      </c>
      <c r="F33" s="51"/>
      <c r="G33" s="51"/>
      <c r="H33" s="52"/>
      <c r="I33" s="50">
        <v>5</v>
      </c>
      <c r="J33" s="51"/>
      <c r="K33" s="51"/>
      <c r="L33" s="52"/>
      <c r="M33" s="86"/>
      <c r="N33" s="86"/>
      <c r="O33" s="86"/>
      <c r="P33" s="86"/>
    </row>
    <row r="34" spans="1:16" ht="20.25" x14ac:dyDescent="0.25">
      <c r="A34" s="55"/>
      <c r="B34" s="50" t="s">
        <v>84</v>
      </c>
      <c r="C34" s="51"/>
      <c r="D34" s="52"/>
      <c r="E34" s="50">
        <v>10</v>
      </c>
      <c r="F34" s="51"/>
      <c r="G34" s="51"/>
      <c r="H34" s="52"/>
      <c r="I34" s="50">
        <v>4</v>
      </c>
      <c r="J34" s="51"/>
      <c r="K34" s="51"/>
      <c r="L34" s="52"/>
      <c r="M34" s="86"/>
      <c r="N34" s="86"/>
      <c r="O34" s="86"/>
      <c r="P34" s="86"/>
    </row>
    <row r="35" spans="1:16" ht="21" thickBot="1" x14ac:dyDescent="0.3">
      <c r="A35" s="56"/>
      <c r="B35" s="57" t="s">
        <v>85</v>
      </c>
      <c r="C35" s="58"/>
      <c r="D35" s="59"/>
      <c r="E35" s="57">
        <v>40</v>
      </c>
      <c r="F35" s="58"/>
      <c r="G35" s="58"/>
      <c r="H35" s="59"/>
      <c r="I35" s="57">
        <v>375</v>
      </c>
      <c r="J35" s="58"/>
      <c r="K35" s="58"/>
      <c r="L35" s="59"/>
      <c r="M35" s="86"/>
      <c r="N35" s="86"/>
      <c r="O35" s="86"/>
      <c r="P35" s="86"/>
    </row>
    <row r="36" spans="1:16" ht="20.25" x14ac:dyDescent="0.25">
      <c r="A36" s="43"/>
      <c r="B36" s="43"/>
      <c r="C36" s="43"/>
      <c r="D36" s="43"/>
      <c r="E36" s="43"/>
      <c r="F36" s="43"/>
      <c r="G36" s="43"/>
      <c r="H36" s="43"/>
      <c r="I36" s="43"/>
      <c r="J36" s="43"/>
      <c r="K36" s="43"/>
      <c r="L36" s="43"/>
      <c r="M36" s="87"/>
      <c r="N36" s="87"/>
      <c r="O36" s="87"/>
      <c r="P36" s="87"/>
    </row>
    <row r="37" spans="1:16" x14ac:dyDescent="0.25">
      <c r="A37" s="100"/>
      <c r="B37" s="100"/>
      <c r="C37" s="100"/>
      <c r="D37" s="100"/>
      <c r="E37" s="86"/>
      <c r="F37" s="86"/>
      <c r="G37" s="86"/>
      <c r="H37" s="86"/>
      <c r="I37" s="86"/>
      <c r="J37" s="86"/>
      <c r="K37" s="86"/>
      <c r="L37" s="86"/>
      <c r="M37" s="86"/>
      <c r="N37" s="86"/>
      <c r="O37" s="86"/>
      <c r="P37" s="86"/>
    </row>
    <row r="38" spans="1:16" x14ac:dyDescent="0.25">
      <c r="A38" s="100"/>
      <c r="B38" s="100"/>
      <c r="C38" s="100"/>
      <c r="D38" s="100"/>
      <c r="E38" s="86"/>
      <c r="F38" s="86"/>
      <c r="G38" s="86"/>
      <c r="H38" s="86"/>
      <c r="I38" s="86"/>
      <c r="J38" s="86"/>
      <c r="K38" s="86"/>
      <c r="L38" s="86"/>
      <c r="M38" s="86"/>
      <c r="N38" s="86"/>
      <c r="O38" s="86"/>
      <c r="P38" s="86"/>
    </row>
    <row r="39" spans="1:16" x14ac:dyDescent="0.25">
      <c r="A39" s="100"/>
      <c r="B39" s="100"/>
      <c r="C39" s="100"/>
      <c r="D39" s="100"/>
      <c r="E39" s="86"/>
      <c r="F39" s="86"/>
      <c r="G39" s="86"/>
      <c r="H39" s="86"/>
      <c r="I39" s="86"/>
      <c r="J39" s="86"/>
      <c r="K39" s="86"/>
      <c r="L39" s="86"/>
      <c r="M39" s="86"/>
      <c r="N39" s="86"/>
      <c r="O39" s="86"/>
      <c r="P39" s="86"/>
    </row>
    <row r="40" spans="1:16" x14ac:dyDescent="0.25">
      <c r="A40" s="100"/>
      <c r="B40" s="100"/>
      <c r="C40" s="100"/>
      <c r="D40" s="100"/>
      <c r="E40" s="86"/>
      <c r="F40" s="86"/>
      <c r="G40" s="86"/>
      <c r="H40" s="86"/>
      <c r="I40" s="86"/>
      <c r="J40" s="86"/>
      <c r="K40" s="86"/>
      <c r="L40" s="86"/>
      <c r="M40" s="86"/>
      <c r="N40" s="86"/>
      <c r="O40" s="86"/>
      <c r="P40" s="86"/>
    </row>
    <row r="41" spans="1:16" x14ac:dyDescent="0.25">
      <c r="A41" s="100"/>
      <c r="B41" s="100"/>
      <c r="C41" s="100"/>
      <c r="D41" s="100"/>
      <c r="E41" s="86"/>
      <c r="F41" s="86"/>
      <c r="G41" s="86"/>
      <c r="H41" s="86"/>
      <c r="I41" s="86"/>
      <c r="J41" s="86"/>
      <c r="K41" s="86"/>
      <c r="L41" s="86"/>
      <c r="M41" s="86"/>
      <c r="N41" s="86"/>
      <c r="O41" s="86"/>
      <c r="P41" s="86"/>
    </row>
    <row r="42" spans="1:16" x14ac:dyDescent="0.25">
      <c r="A42" s="100"/>
      <c r="B42" s="100"/>
      <c r="C42" s="100"/>
      <c r="D42" s="100"/>
      <c r="E42" s="86"/>
      <c r="F42" s="86"/>
      <c r="G42" s="86"/>
      <c r="H42" s="86"/>
      <c r="I42" s="86"/>
      <c r="J42" s="86"/>
      <c r="K42" s="86"/>
      <c r="L42" s="86"/>
      <c r="M42" s="86"/>
      <c r="N42" s="86"/>
      <c r="O42" s="86"/>
      <c r="P42" s="86"/>
    </row>
    <row r="43" spans="1:16" x14ac:dyDescent="0.25">
      <c r="A43" s="17"/>
      <c r="B43" s="17"/>
      <c r="C43" s="17"/>
      <c r="D43" s="17"/>
      <c r="E43" s="17"/>
      <c r="F43" s="17"/>
      <c r="G43" s="17"/>
      <c r="H43" s="17"/>
      <c r="I43" s="17"/>
      <c r="J43" s="17"/>
      <c r="K43" s="17"/>
      <c r="L43" s="17"/>
      <c r="M43" s="17"/>
      <c r="N43" s="17"/>
      <c r="O43" s="17"/>
      <c r="P43" s="17"/>
    </row>
  </sheetData>
  <mergeCells count="145">
    <mergeCell ref="B41:D42"/>
    <mergeCell ref="E41:H42"/>
    <mergeCell ref="I41:L42"/>
    <mergeCell ref="M41:P42"/>
    <mergeCell ref="E21:F21"/>
    <mergeCell ref="G21:H21"/>
    <mergeCell ref="E26:F26"/>
    <mergeCell ref="G26:H26"/>
    <mergeCell ref="E31:F31"/>
    <mergeCell ref="G31:H31"/>
    <mergeCell ref="O35:P35"/>
    <mergeCell ref="A37:A42"/>
    <mergeCell ref="B37:D38"/>
    <mergeCell ref="E37:H38"/>
    <mergeCell ref="I37:L38"/>
    <mergeCell ref="M37:P38"/>
    <mergeCell ref="B39:D40"/>
    <mergeCell ref="E39:H40"/>
    <mergeCell ref="I39:L40"/>
    <mergeCell ref="M39:P40"/>
    <mergeCell ref="B35:D35"/>
    <mergeCell ref="E35:F35"/>
    <mergeCell ref="G35:H35"/>
    <mergeCell ref="I35:J35"/>
    <mergeCell ref="K35:L35"/>
    <mergeCell ref="M35:N35"/>
    <mergeCell ref="M33:N33"/>
    <mergeCell ref="O33:P33"/>
    <mergeCell ref="B34:D34"/>
    <mergeCell ref="E34:F34"/>
    <mergeCell ref="G34:H34"/>
    <mergeCell ref="I34:J34"/>
    <mergeCell ref="K34:L34"/>
    <mergeCell ref="M34:N34"/>
    <mergeCell ref="O34:P34"/>
    <mergeCell ref="G32:H32"/>
    <mergeCell ref="I32:J32"/>
    <mergeCell ref="K32:L32"/>
    <mergeCell ref="M32:N32"/>
    <mergeCell ref="O32:P32"/>
    <mergeCell ref="B33:D33"/>
    <mergeCell ref="E33:F33"/>
    <mergeCell ref="G33:H33"/>
    <mergeCell ref="I33:J33"/>
    <mergeCell ref="K33:L33"/>
    <mergeCell ref="O30:P30"/>
    <mergeCell ref="A31:A35"/>
    <mergeCell ref="B31:D31"/>
    <mergeCell ref="I31:J31"/>
    <mergeCell ref="K31:L31"/>
    <mergeCell ref="M31:N31"/>
    <mergeCell ref="O31:P31"/>
    <mergeCell ref="B32:D32"/>
    <mergeCell ref="E32:F32"/>
    <mergeCell ref="B30:D30"/>
    <mergeCell ref="E30:F30"/>
    <mergeCell ref="G30:H30"/>
    <mergeCell ref="I30:J30"/>
    <mergeCell ref="K30:L30"/>
    <mergeCell ref="M30:N30"/>
    <mergeCell ref="M28:N28"/>
    <mergeCell ref="O28:P28"/>
    <mergeCell ref="B29:D29"/>
    <mergeCell ref="E29:F29"/>
    <mergeCell ref="G29:H29"/>
    <mergeCell ref="I29:J29"/>
    <mergeCell ref="K29:L29"/>
    <mergeCell ref="M29:N29"/>
    <mergeCell ref="O29:P29"/>
    <mergeCell ref="G27:H27"/>
    <mergeCell ref="I27:J27"/>
    <mergeCell ref="K27:L27"/>
    <mergeCell ref="M27:N27"/>
    <mergeCell ref="O27:P27"/>
    <mergeCell ref="B28:D28"/>
    <mergeCell ref="E28:F28"/>
    <mergeCell ref="G28:H28"/>
    <mergeCell ref="I28:J28"/>
    <mergeCell ref="K28:L28"/>
    <mergeCell ref="O25:P25"/>
    <mergeCell ref="A26:A30"/>
    <mergeCell ref="B26:D26"/>
    <mergeCell ref="I26:J26"/>
    <mergeCell ref="K26:L26"/>
    <mergeCell ref="M26:N26"/>
    <mergeCell ref="O26:P26"/>
    <mergeCell ref="B27:D27"/>
    <mergeCell ref="E27:F27"/>
    <mergeCell ref="B25:D25"/>
    <mergeCell ref="E25:F25"/>
    <mergeCell ref="G25:H25"/>
    <mergeCell ref="I25:J25"/>
    <mergeCell ref="K25:L25"/>
    <mergeCell ref="M25:N25"/>
    <mergeCell ref="O23:P23"/>
    <mergeCell ref="B24:D24"/>
    <mergeCell ref="E24:F24"/>
    <mergeCell ref="G24:H24"/>
    <mergeCell ref="I24:J24"/>
    <mergeCell ref="K24:L24"/>
    <mergeCell ref="M24:N24"/>
    <mergeCell ref="O24:P24"/>
    <mergeCell ref="B23:D23"/>
    <mergeCell ref="E23:F23"/>
    <mergeCell ref="G23:H23"/>
    <mergeCell ref="I23:J23"/>
    <mergeCell ref="K23:L23"/>
    <mergeCell ref="M23:N23"/>
    <mergeCell ref="M21:N21"/>
    <mergeCell ref="O21:P21"/>
    <mergeCell ref="B22:D22"/>
    <mergeCell ref="E22:F22"/>
    <mergeCell ref="G22:H22"/>
    <mergeCell ref="I22:J22"/>
    <mergeCell ref="K22:L22"/>
    <mergeCell ref="M22:N22"/>
    <mergeCell ref="O22:P22"/>
    <mergeCell ref="B20:D20"/>
    <mergeCell ref="E20:H20"/>
    <mergeCell ref="I20:L20"/>
    <mergeCell ref="M20:N20"/>
    <mergeCell ref="O20:P20"/>
    <mergeCell ref="A21:A25"/>
    <mergeCell ref="B21:D21"/>
    <mergeCell ref="I21:J21"/>
    <mergeCell ref="K21:L21"/>
    <mergeCell ref="B10:D10"/>
    <mergeCell ref="E10:G10"/>
    <mergeCell ref="H10:J10"/>
    <mergeCell ref="K10:M10"/>
    <mergeCell ref="N10:P10"/>
    <mergeCell ref="B11:D11"/>
    <mergeCell ref="E11:G11"/>
    <mergeCell ref="H11:J11"/>
    <mergeCell ref="K11:M11"/>
    <mergeCell ref="N11:P11"/>
    <mergeCell ref="A1:P1"/>
    <mergeCell ref="N2:P4"/>
    <mergeCell ref="D5:G5"/>
    <mergeCell ref="D6:G6"/>
    <mergeCell ref="B9:D9"/>
    <mergeCell ref="E9:G9"/>
    <mergeCell ref="H9:J9"/>
    <mergeCell ref="K9:M9"/>
    <mergeCell ref="N9:P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Matériau N°1</vt:lpstr>
      <vt:lpstr>Matériau N°2</vt:lpstr>
      <vt:lpstr>Classe GTR des compacteurs</vt:lpstr>
      <vt:lpstr>Grille de décision Matériau N°1</vt:lpstr>
      <vt:lpstr>Grille de décision Matériau 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Didier Hennetier</dc:creator>
  <cp:lastModifiedBy>Julou LG</cp:lastModifiedBy>
  <dcterms:created xsi:type="dcterms:W3CDTF">2024-04-10T07:19:16Z</dcterms:created>
  <dcterms:modified xsi:type="dcterms:W3CDTF">2025-06-01T01:14:24Z</dcterms:modified>
</cp:coreProperties>
</file>