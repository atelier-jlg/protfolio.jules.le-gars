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ou\Documents\Cours\BUT 1\4 - SAE\Semestre 2\SAÉ 2.02\"/>
    </mc:Choice>
  </mc:AlternateContent>
  <xr:revisionPtr revIDLastSave="0" documentId="13_ncr:1_{7C873D1A-F998-4216-A393-D527A34EA3AA}" xr6:coauthVersionLast="47" xr6:coauthVersionMax="47" xr10:uidLastSave="{00000000-0000-0000-0000-000000000000}"/>
  <bookViews>
    <workbookView xWindow="-108" yWindow="-108" windowWidth="23256" windowHeight="12456" activeTab="3" xr2:uid="{5DEC4206-FFAA-44E7-B9A2-6E5F41907FFB}"/>
  </bookViews>
  <sheets>
    <sheet name="Profil en Long" sheetId="1" r:id="rId1"/>
    <sheet name="Ztampons EU" sheetId="7" r:id="rId2"/>
    <sheet name="Feuille calcul EU" sheetId="5" r:id="rId3"/>
    <sheet name="EP-EU Profondeur TR" sheetId="8" r:id="rId4"/>
  </sheets>
  <definedNames>
    <definedName name="De">#REF!</definedName>
    <definedName name="DeEP">#REF!</definedName>
    <definedName name="DeEU">#REF!</definedName>
    <definedName name="distance_interpolation">'Profil en Long'!$G$3</definedName>
    <definedName name="hauteur1">'Profil en Long'!$C$3</definedName>
    <definedName name="hauteur2">'Profil en Long'!$D$3</definedName>
    <definedName name="Htampon">'Feuille calcul EU'!$Q$3</definedName>
    <definedName name="longueur">'Profil en Long'!$E$3</definedName>
    <definedName name="pente">'Profil en Long'!$F$3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8" l="1"/>
  <c r="D25" i="8"/>
  <c r="D24" i="8"/>
  <c r="D23" i="8"/>
  <c r="D21" i="8"/>
  <c r="D22" i="8"/>
  <c r="H17" i="8"/>
  <c r="H15" i="8"/>
  <c r="H13" i="8"/>
  <c r="F17" i="8"/>
  <c r="F15" i="8"/>
  <c r="F13" i="8"/>
  <c r="F16" i="8"/>
  <c r="F14" i="8"/>
  <c r="F12" i="8"/>
  <c r="H16" i="8"/>
  <c r="H14" i="8"/>
  <c r="H12" i="8"/>
  <c r="I12" i="8"/>
  <c r="I13" i="8"/>
  <c r="I14" i="8"/>
  <c r="I15" i="8"/>
  <c r="I16" i="8"/>
  <c r="I17" i="8"/>
  <c r="C16" i="8"/>
  <c r="C14" i="8"/>
  <c r="C12" i="8"/>
  <c r="B16" i="8"/>
  <c r="B14" i="8"/>
  <c r="B12" i="8"/>
  <c r="C17" i="8"/>
  <c r="C15" i="8"/>
  <c r="C13" i="8"/>
  <c r="C11" i="8"/>
  <c r="B17" i="8"/>
  <c r="B15" i="8"/>
  <c r="B13" i="8"/>
  <c r="B11" i="8"/>
  <c r="H11" i="5"/>
  <c r="H6" i="5"/>
  <c r="H3" i="5"/>
  <c r="I3" i="5" s="1"/>
  <c r="H4" i="5"/>
  <c r="I4" i="5" s="1"/>
  <c r="H5" i="5"/>
  <c r="I5" i="5" s="1"/>
  <c r="H7" i="5"/>
  <c r="I7" i="5" s="1"/>
  <c r="H8" i="5"/>
  <c r="I8" i="5" s="1"/>
  <c r="H9" i="5"/>
  <c r="I9" i="5" s="1"/>
  <c r="H10" i="5"/>
  <c r="I10" i="5" s="1"/>
  <c r="K11" i="5" s="1"/>
  <c r="I11" i="8" l="1"/>
  <c r="K5" i="5"/>
  <c r="K10" i="5"/>
  <c r="K3" i="5"/>
  <c r="K4" i="5"/>
  <c r="K9" i="5"/>
  <c r="K8" i="5"/>
  <c r="K7" i="5"/>
  <c r="F4" i="7"/>
  <c r="H4" i="7" s="1"/>
  <c r="F5" i="7"/>
  <c r="H5" i="7" s="1"/>
  <c r="F6" i="7"/>
  <c r="H6" i="7" s="1"/>
  <c r="F7" i="7"/>
  <c r="H7" i="7" s="1"/>
  <c r="F3" i="7"/>
  <c r="H3" i="7" s="1"/>
  <c r="J40" i="1"/>
  <c r="J41" i="1"/>
  <c r="J39" i="1"/>
  <c r="H43" i="1"/>
  <c r="F40" i="1"/>
  <c r="H40" i="1" s="1"/>
  <c r="F44" i="1"/>
  <c r="H44" i="1" s="1"/>
  <c r="J44" i="1" s="1"/>
  <c r="F43" i="1"/>
  <c r="F42" i="1"/>
  <c r="H42" i="1" s="1"/>
  <c r="J42" i="1" s="1"/>
  <c r="F41" i="1"/>
  <c r="H41" i="1" s="1"/>
  <c r="F39" i="1"/>
  <c r="H39" i="1" s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F26" i="1"/>
  <c r="H26" i="1" s="1"/>
  <c r="F27" i="1"/>
  <c r="H27" i="1" s="1"/>
  <c r="F28" i="1"/>
  <c r="H28" i="1" s="1"/>
  <c r="F10" i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9" i="1"/>
  <c r="H9" i="1" s="1"/>
  <c r="F5" i="1"/>
  <c r="F6" i="1"/>
  <c r="F7" i="1"/>
  <c r="F8" i="1"/>
  <c r="H8" i="1" s="1"/>
  <c r="H10" i="1"/>
  <c r="H5" i="1"/>
  <c r="H6" i="1"/>
  <c r="H7" i="1"/>
  <c r="H19" i="1"/>
  <c r="H3" i="1"/>
  <c r="J3" i="1" s="1"/>
  <c r="F4" i="1"/>
  <c r="H4" i="1" s="1"/>
  <c r="F3" i="1"/>
  <c r="J43" i="1" l="1"/>
</calcChain>
</file>

<file path=xl/sharedStrings.xml><?xml version="1.0" encoding="utf-8"?>
<sst xmlns="http://schemas.openxmlformats.org/spreadsheetml/2006/main" count="85" uniqueCount="55">
  <si>
    <t>H1</t>
  </si>
  <si>
    <t>H2</t>
  </si>
  <si>
    <t>l</t>
  </si>
  <si>
    <t>pente</t>
  </si>
  <si>
    <t>Point</t>
  </si>
  <si>
    <r>
      <t>Z</t>
    </r>
    <r>
      <rPr>
        <b/>
        <sz val="6"/>
        <color theme="1"/>
        <rFont val="Calibri"/>
        <family val="2"/>
        <scheme val="minor"/>
      </rPr>
      <t>Projet</t>
    </r>
  </si>
  <si>
    <t>Z tampon</t>
  </si>
  <si>
    <t>Z fil d'eau</t>
  </si>
  <si>
    <t>Pente</t>
  </si>
  <si>
    <t>H fond</t>
  </si>
  <si>
    <t>H droit</t>
  </si>
  <si>
    <t>H tête</t>
  </si>
  <si>
    <t>Espacement</t>
  </si>
  <si>
    <t>-</t>
  </si>
  <si>
    <t>Hauteur de fond possible</t>
  </si>
  <si>
    <t>Hauteur de tête possible</t>
  </si>
  <si>
    <t>Hauteur de tampon</t>
  </si>
  <si>
    <t>Hauteur pièce droite possible</t>
  </si>
  <si>
    <t>Profondeur</t>
  </si>
  <si>
    <t>calage</t>
  </si>
  <si>
    <t>Tracé</t>
  </si>
  <si>
    <t>Prof EP</t>
  </si>
  <si>
    <t>Prof Eu</t>
  </si>
  <si>
    <t>Caisson</t>
  </si>
  <si>
    <r>
      <t>Z</t>
    </r>
    <r>
      <rPr>
        <b/>
        <sz val="6"/>
        <color theme="1"/>
        <rFont val="Calibri"/>
        <family val="2"/>
        <scheme val="minor"/>
      </rPr>
      <t>terrain</t>
    </r>
  </si>
  <si>
    <r>
      <t>d</t>
    </r>
    <r>
      <rPr>
        <b/>
        <sz val="8"/>
        <color theme="1"/>
        <rFont val="Calibri"/>
        <family val="2"/>
        <scheme val="minor"/>
      </rPr>
      <t xml:space="preserve"> H2-H3</t>
    </r>
  </si>
  <si>
    <r>
      <t>TR</t>
    </r>
    <r>
      <rPr>
        <b/>
        <sz val="6"/>
        <color theme="1"/>
        <rFont val="Calibri"/>
        <family val="2"/>
        <scheme val="minor"/>
      </rPr>
      <t>terrain</t>
    </r>
  </si>
  <si>
    <r>
      <t>TR</t>
    </r>
    <r>
      <rPr>
        <b/>
        <sz val="6"/>
        <color theme="1"/>
        <rFont val="Calibri"/>
        <family val="2"/>
        <scheme val="minor"/>
      </rPr>
      <t>Projet</t>
    </r>
  </si>
  <si>
    <t>TRterrain</t>
  </si>
  <si>
    <t>TRProjet</t>
  </si>
  <si>
    <t>Zterrain</t>
  </si>
  <si>
    <t>ZProjet</t>
  </si>
  <si>
    <t>On calcul également les Zterrain des profils en travers 7 et 22 :</t>
  </si>
  <si>
    <t>P7 - 1</t>
  </si>
  <si>
    <t>P7 - 2</t>
  </si>
  <si>
    <t>P7 - 3</t>
  </si>
  <si>
    <t>P22 - 1</t>
  </si>
  <si>
    <t>P22 - 2</t>
  </si>
  <si>
    <t>P22 - 3</t>
  </si>
  <si>
    <r>
      <t>TR</t>
    </r>
    <r>
      <rPr>
        <b/>
        <sz val="6"/>
        <color theme="1"/>
        <rFont val="Calibri"/>
        <family val="2"/>
        <scheme val="minor"/>
      </rPr>
      <t>terrain 22</t>
    </r>
  </si>
  <si>
    <r>
      <t>TR</t>
    </r>
    <r>
      <rPr>
        <b/>
        <sz val="6"/>
        <color theme="1"/>
        <rFont val="Calibri"/>
        <family val="2"/>
        <scheme val="minor"/>
      </rPr>
      <t xml:space="preserve">terrain 7 </t>
    </r>
    <r>
      <rPr>
        <b/>
        <sz val="11"/>
        <color theme="1"/>
        <rFont val="Calibri"/>
        <family val="2"/>
        <scheme val="minor"/>
      </rPr>
      <t xml:space="preserve"> </t>
    </r>
  </si>
  <si>
    <r>
      <t>Z</t>
    </r>
    <r>
      <rPr>
        <b/>
        <sz val="6"/>
        <color theme="1"/>
        <rFont val="Calibri"/>
        <family val="2"/>
        <scheme val="minor"/>
      </rPr>
      <t>tempons</t>
    </r>
  </si>
  <si>
    <t>Type de blindage</t>
  </si>
  <si>
    <r>
      <rPr>
        <b/>
        <sz val="14"/>
        <color theme="7"/>
        <rFont val="Aptos Narrow"/>
        <family val="2"/>
      </rPr>
      <t>Δ</t>
    </r>
    <r>
      <rPr>
        <b/>
        <sz val="10"/>
        <color theme="7"/>
        <rFont val="Calibri"/>
        <family val="2"/>
      </rPr>
      <t>h</t>
    </r>
  </si>
  <si>
    <t>Largeur de la tranchée EP</t>
  </si>
  <si>
    <t>Largeur de la tranchée EU</t>
  </si>
  <si>
    <t>De EP</t>
  </si>
  <si>
    <t>De EU</t>
  </si>
  <si>
    <t>Niveau FE travers 15 EU :</t>
  </si>
  <si>
    <t>Niveau FE travers 15 EP :</t>
  </si>
  <si>
    <t>Zt P15 EU :</t>
  </si>
  <si>
    <t>Zt P15 EP :</t>
  </si>
  <si>
    <t>Hauteur EP 15 :</t>
  </si>
  <si>
    <t>Hauteur EU 15 :</t>
  </si>
  <si>
    <t>Profil en travers 15 (tranchée)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</si>
</sst>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General&quot; m&quot;"/>
    <numFmt numFmtId="165" formatCode="0.00&quot; %&quot;"/>
    <numFmt numFmtId="166" formatCode="0.000"/>
    <numFmt numFmtId="167" formatCode="0.00&quot; m NGF&quot;"/>
    <numFmt numFmtId="168" formatCode="0.00&quot; m&quot;"/>
    <numFmt numFmtId="169" formatCode="&quot;⌀&quot;General"/>
  </numFmts>
  <fonts count="2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theme="7"/>
      <name val="Calibri"/>
      <family val="2"/>
    </font>
    <font>
      <b/>
      <sz val="14"/>
      <color theme="7"/>
      <name val="Aptos Narrow"/>
      <family val="2"/>
    </font>
    <font>
      <b/>
      <sz val="10"/>
      <color theme="7"/>
      <name val="Calibri"/>
      <family val="2"/>
    </font>
    <font>
      <sz val="11"/>
      <color theme="4" tint="-0.499984740745262"/>
      <name val="Calibri"/>
      <family val="2"/>
      <scheme val="minor"/>
    </font>
    <font>
      <sz val="11"/>
      <color theme="2" tint="-9.9978637043366805E-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11" fillId="3" borderId="9" xfId="0" applyNumberFormat="1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11" fillId="3" borderId="10" xfId="0" applyNumberFormat="1" applyFont="1" applyFill="1" applyBorder="1" applyAlignment="1">
      <alignment horizontal="center" vertical="center"/>
    </xf>
    <xf numFmtId="166" fontId="4" fillId="3" borderId="2" xfId="0" applyNumberFormat="1" applyFon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67" fontId="9" fillId="3" borderId="2" xfId="0" applyNumberFormat="1" applyFont="1" applyFill="1" applyBorder="1" applyAlignment="1">
      <alignment horizontal="center" vertical="center"/>
    </xf>
    <xf numFmtId="167" fontId="13" fillId="3" borderId="2" xfId="0" applyNumberFormat="1" applyFont="1" applyFill="1" applyBorder="1" applyAlignment="1">
      <alignment horizontal="center" vertical="center"/>
    </xf>
    <xf numFmtId="167" fontId="13" fillId="3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2" fontId="9" fillId="3" borderId="0" xfId="0" applyNumberFormat="1" applyFont="1" applyFill="1" applyAlignment="1">
      <alignment horizontal="center" vertical="center"/>
    </xf>
    <xf numFmtId="2" fontId="13" fillId="3" borderId="0" xfId="0" applyNumberFormat="1" applyFont="1" applyFill="1" applyAlignment="1">
      <alignment horizontal="center" vertical="center"/>
    </xf>
    <xf numFmtId="2" fontId="9" fillId="3" borderId="16" xfId="0" applyNumberFormat="1" applyFont="1" applyFill="1" applyBorder="1" applyAlignment="1">
      <alignment horizontal="center" vertical="center"/>
    </xf>
    <xf numFmtId="2" fontId="9" fillId="3" borderId="14" xfId="0" applyNumberFormat="1" applyFont="1" applyFill="1" applyBorder="1" applyAlignment="1">
      <alignment horizontal="center" vertical="center"/>
    </xf>
    <xf numFmtId="2" fontId="13" fillId="3" borderId="12" xfId="0" applyNumberFormat="1" applyFont="1" applyFill="1" applyBorder="1" applyAlignment="1">
      <alignment horizontal="center" vertical="center"/>
    </xf>
    <xf numFmtId="2" fontId="13" fillId="3" borderId="8" xfId="0" applyNumberFormat="1" applyFont="1" applyFill="1" applyBorder="1" applyAlignment="1">
      <alignment horizontal="center" vertical="center"/>
    </xf>
    <xf numFmtId="2" fontId="13" fillId="3" borderId="11" xfId="0" applyNumberFormat="1" applyFont="1" applyFill="1" applyBorder="1" applyAlignment="1">
      <alignment horizontal="center" vertical="center"/>
    </xf>
    <xf numFmtId="2" fontId="1" fillId="3" borderId="16" xfId="0" applyNumberFormat="1" applyFont="1" applyFill="1" applyBorder="1" applyAlignment="1">
      <alignment horizontal="center" vertical="center"/>
    </xf>
    <xf numFmtId="2" fontId="1" fillId="3" borderId="14" xfId="0" applyNumberFormat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2" fontId="1" fillId="3" borderId="12" xfId="0" applyNumberFormat="1" applyFont="1" applyFill="1" applyBorder="1" applyAlignment="1">
      <alignment horizontal="center" vertical="center"/>
    </xf>
    <xf numFmtId="2" fontId="1" fillId="3" borderId="8" xfId="0" applyNumberFormat="1" applyFont="1" applyFill="1" applyBorder="1" applyAlignment="1">
      <alignment horizontal="center" vertical="center"/>
    </xf>
    <xf numFmtId="2" fontId="1" fillId="3" borderId="11" xfId="0" applyNumberFormat="1" applyFont="1" applyFill="1" applyBorder="1" applyAlignment="1">
      <alignment horizontal="center" vertical="center"/>
    </xf>
    <xf numFmtId="166" fontId="4" fillId="4" borderId="2" xfId="0" applyNumberFormat="1" applyFont="1" applyFill="1" applyBorder="1" applyAlignment="1">
      <alignment horizontal="center" vertical="center"/>
    </xf>
    <xf numFmtId="167" fontId="9" fillId="4" borderId="2" xfId="0" applyNumberFormat="1" applyFont="1" applyFill="1" applyBorder="1" applyAlignment="1">
      <alignment horizontal="center" vertical="center"/>
    </xf>
    <xf numFmtId="167" fontId="13" fillId="4" borderId="2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167" fontId="9" fillId="3" borderId="1" xfId="0" applyNumberFormat="1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2" fontId="0" fillId="3" borderId="12" xfId="0" applyNumberFormat="1" applyFill="1" applyBorder="1" applyAlignment="1">
      <alignment horizontal="center" vertical="center"/>
    </xf>
    <xf numFmtId="166" fontId="4" fillId="3" borderId="12" xfId="0" applyNumberFormat="1" applyFont="1" applyFill="1" applyBorder="1" applyAlignment="1">
      <alignment horizontal="center" vertical="center"/>
    </xf>
    <xf numFmtId="167" fontId="9" fillId="3" borderId="7" xfId="0" applyNumberFormat="1" applyFont="1" applyFill="1" applyBorder="1" applyAlignment="1">
      <alignment horizontal="center" vertical="center"/>
    </xf>
    <xf numFmtId="167" fontId="9" fillId="3" borderId="18" xfId="0" applyNumberFormat="1" applyFont="1" applyFill="1" applyBorder="1" applyAlignment="1">
      <alignment horizontal="center" vertical="center"/>
    </xf>
    <xf numFmtId="168" fontId="0" fillId="4" borderId="1" xfId="0" applyNumberForma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8" fontId="0" fillId="6" borderId="8" xfId="0" applyNumberFormat="1" applyFill="1" applyBorder="1" applyAlignment="1">
      <alignment horizontal="center" vertical="center"/>
    </xf>
    <xf numFmtId="164" fontId="0" fillId="6" borderId="8" xfId="0" applyNumberFormat="1" applyFill="1" applyBorder="1" applyAlignment="1">
      <alignment horizontal="center" vertical="center"/>
    </xf>
    <xf numFmtId="164" fontId="2" fillId="6" borderId="8" xfId="0" applyNumberFormat="1" applyFont="1" applyFill="1" applyBorder="1" applyAlignment="1">
      <alignment horizontal="center" vertical="center"/>
    </xf>
    <xf numFmtId="168" fontId="2" fillId="6" borderId="8" xfId="0" applyNumberFormat="1" applyFont="1" applyFill="1" applyBorder="1" applyAlignment="1">
      <alignment horizontal="center" vertical="center"/>
    </xf>
    <xf numFmtId="165" fontId="0" fillId="6" borderId="8" xfId="0" applyNumberFormat="1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168" fontId="16" fillId="7" borderId="2" xfId="0" applyNumberFormat="1" applyFont="1" applyFill="1" applyBorder="1" applyAlignment="1">
      <alignment horizontal="center" vertical="center"/>
    </xf>
    <xf numFmtId="164" fontId="16" fillId="7" borderId="1" xfId="0" applyNumberFormat="1" applyFont="1" applyFill="1" applyBorder="1" applyAlignment="1">
      <alignment horizontal="center" vertical="center"/>
    </xf>
    <xf numFmtId="164" fontId="15" fillId="7" borderId="1" xfId="0" applyNumberFormat="1" applyFont="1" applyFill="1" applyBorder="1" applyAlignment="1">
      <alignment horizontal="center" vertical="center"/>
    </xf>
    <xf numFmtId="168" fontId="15" fillId="7" borderId="2" xfId="0" applyNumberFormat="1" applyFont="1" applyFill="1" applyBorder="1" applyAlignment="1">
      <alignment horizontal="center" vertical="center"/>
    </xf>
    <xf numFmtId="164" fontId="16" fillId="7" borderId="2" xfId="0" applyNumberFormat="1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165" fontId="16" fillId="7" borderId="1" xfId="0" applyNumberFormat="1" applyFont="1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164" fontId="21" fillId="3" borderId="1" xfId="0" applyNumberFormat="1" applyFont="1" applyFill="1" applyBorder="1" applyAlignment="1">
      <alignment horizontal="center" vertical="center"/>
    </xf>
    <xf numFmtId="169" fontId="8" fillId="3" borderId="1" xfId="0" applyNumberFormat="1" applyFont="1" applyFill="1" applyBorder="1" applyAlignment="1">
      <alignment horizontal="center" vertical="center"/>
    </xf>
    <xf numFmtId="169" fontId="11" fillId="3" borderId="1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164" fontId="17" fillId="3" borderId="19" xfId="0" applyNumberFormat="1" applyFont="1" applyFill="1" applyBorder="1" applyAlignment="1">
      <alignment horizontal="center" vertical="center"/>
    </xf>
    <xf numFmtId="164" fontId="17" fillId="3" borderId="11" xfId="0" applyNumberFormat="1" applyFont="1" applyFill="1" applyBorder="1" applyAlignment="1">
      <alignment horizontal="center" vertical="center"/>
    </xf>
    <xf numFmtId="169" fontId="11" fillId="3" borderId="0" xfId="0" applyNumberFormat="1" applyFont="1" applyFill="1" applyAlignment="1">
      <alignment horizontal="center" vertical="center"/>
    </xf>
    <xf numFmtId="164" fontId="21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/>
    </xf>
    <xf numFmtId="164" fontId="8" fillId="3" borderId="20" xfId="0" applyNumberFormat="1" applyFont="1" applyFill="1" applyBorder="1" applyAlignment="1">
      <alignment horizontal="center" vertical="center"/>
    </xf>
    <xf numFmtId="164" fontId="8" fillId="3" borderId="21" xfId="0" applyNumberFormat="1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18" fillId="3" borderId="23" xfId="0" applyFont="1" applyFill="1" applyBorder="1" applyAlignment="1">
      <alignment horizontal="center" vertical="center"/>
    </xf>
    <xf numFmtId="169" fontId="11" fillId="3" borderId="24" xfId="0" applyNumberFormat="1" applyFont="1" applyFill="1" applyBorder="1" applyAlignment="1">
      <alignment horizontal="center" vertical="center"/>
    </xf>
    <xf numFmtId="0" fontId="0" fillId="3" borderId="24" xfId="0" applyFill="1" applyBorder="1"/>
    <xf numFmtId="164" fontId="22" fillId="3" borderId="0" xfId="0" applyNumberFormat="1" applyFont="1" applyFill="1" applyAlignment="1">
      <alignment horizontal="center" vertical="center"/>
    </xf>
    <xf numFmtId="164" fontId="22" fillId="3" borderId="24" xfId="0" applyNumberFormat="1" applyFont="1" applyFill="1" applyBorder="1" applyAlignment="1">
      <alignment horizontal="center" vertical="center"/>
    </xf>
    <xf numFmtId="2" fontId="8" fillId="3" borderId="27" xfId="0" applyNumberFormat="1" applyFont="1" applyFill="1" applyBorder="1" applyAlignment="1">
      <alignment horizontal="left"/>
    </xf>
    <xf numFmtId="0" fontId="0" fillId="3" borderId="0" xfId="0" applyFill="1" applyAlignment="1">
      <alignment horizontal="right"/>
    </xf>
    <xf numFmtId="2" fontId="21" fillId="3" borderId="29" xfId="0" applyNumberFormat="1" applyFont="1" applyFill="1" applyBorder="1" applyAlignment="1">
      <alignment horizontal="left"/>
    </xf>
    <xf numFmtId="0" fontId="0" fillId="3" borderId="28" xfId="0" applyFill="1" applyBorder="1"/>
    <xf numFmtId="2" fontId="8" fillId="3" borderId="29" xfId="0" applyNumberFormat="1" applyFont="1" applyFill="1" applyBorder="1" applyAlignment="1">
      <alignment horizontal="left"/>
    </xf>
    <xf numFmtId="2" fontId="1" fillId="3" borderId="29" xfId="0" applyNumberFormat="1" applyFont="1" applyFill="1" applyBorder="1" applyAlignment="1">
      <alignment horizontal="left"/>
    </xf>
    <xf numFmtId="2" fontId="1" fillId="3" borderId="31" xfId="0" applyNumberFormat="1" applyFont="1" applyFill="1" applyBorder="1" applyAlignment="1">
      <alignment horizontal="left"/>
    </xf>
    <xf numFmtId="2" fontId="14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8" xfId="0" applyNumberFormat="1" applyFill="1" applyBorder="1" applyAlignment="1">
      <alignment horizontal="center" vertical="center"/>
    </xf>
    <xf numFmtId="0" fontId="0" fillId="3" borderId="25" xfId="0" applyFill="1" applyBorder="1" applyAlignment="1">
      <alignment horizontal="right"/>
    </xf>
    <xf numFmtId="0" fontId="0" fillId="3" borderId="26" xfId="0" applyFill="1" applyBorder="1" applyAlignment="1">
      <alignment horizontal="right"/>
    </xf>
    <xf numFmtId="0" fontId="0" fillId="3" borderId="28" xfId="0" applyFill="1" applyBorder="1" applyAlignment="1">
      <alignment horizontal="right"/>
    </xf>
    <xf numFmtId="0" fontId="0" fillId="3" borderId="0" xfId="0" applyFill="1" applyAlignment="1">
      <alignment horizontal="right"/>
    </xf>
    <xf numFmtId="0" fontId="0" fillId="3" borderId="30" xfId="0" applyFill="1" applyBorder="1" applyAlignment="1">
      <alignment horizontal="right"/>
    </xf>
    <xf numFmtId="0" fontId="0" fillId="3" borderId="24" xfId="0" applyFill="1" applyBorder="1" applyAlignment="1">
      <alignment horizontal="right"/>
    </xf>
    <xf numFmtId="0" fontId="0" fillId="3" borderId="32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Aperçu</a:t>
            </a:r>
            <a:r>
              <a:rPr lang="fr-FR" baseline="0"/>
              <a:t> profil en long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'Profil en Long'!$H$2</c:f>
              <c:strCache>
                <c:ptCount val="1"/>
                <c:pt idx="0">
                  <c:v>Zterrain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'Profil en Long'!$B$3:$B$25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'Profil en Long'!$H$3:$H$25</c:f>
              <c:numCache>
                <c:formatCode>0.00" m NGF"</c:formatCode>
                <c:ptCount val="23"/>
                <c:pt idx="0">
                  <c:v>8.9452411575562696</c:v>
                </c:pt>
                <c:pt idx="1">
                  <c:v>8.8559999999999999</c:v>
                </c:pt>
                <c:pt idx="2">
                  <c:v>8.9379689703808189</c:v>
                </c:pt>
                <c:pt idx="3">
                  <c:v>9.1763239436619717</c:v>
                </c:pt>
                <c:pt idx="4">
                  <c:v>9.1824225352112681</c:v>
                </c:pt>
                <c:pt idx="5">
                  <c:v>9.1941606104651168</c:v>
                </c:pt>
                <c:pt idx="6">
                  <c:v>9.2100000000000009</c:v>
                </c:pt>
                <c:pt idx="7">
                  <c:v>9.102151652624757</c:v>
                </c:pt>
                <c:pt idx="8">
                  <c:v>9.0134242362107848</c:v>
                </c:pt>
                <c:pt idx="9">
                  <c:v>8.8989210019267819</c:v>
                </c:pt>
                <c:pt idx="10">
                  <c:v>8.8944537463373798</c:v>
                </c:pt>
                <c:pt idx="11">
                  <c:v>8.6550228310502284</c:v>
                </c:pt>
                <c:pt idx="12">
                  <c:v>8.5243236074270552</c:v>
                </c:pt>
                <c:pt idx="13">
                  <c:v>7.97</c:v>
                </c:pt>
                <c:pt idx="14">
                  <c:v>7.9918471337579611</c:v>
                </c:pt>
                <c:pt idx="15">
                  <c:v>7.9989546646684149</c:v>
                </c:pt>
                <c:pt idx="16">
                  <c:v>8.0136418134132636</c:v>
                </c:pt>
                <c:pt idx="17">
                  <c:v>8.0162907455976011</c:v>
                </c:pt>
                <c:pt idx="18">
                  <c:v>7.8273417721518994</c:v>
                </c:pt>
                <c:pt idx="19">
                  <c:v>7.788501913613997</c:v>
                </c:pt>
                <c:pt idx="20">
                  <c:v>7.6974663299663302</c:v>
                </c:pt>
                <c:pt idx="21">
                  <c:v>7.4982370517928292</c:v>
                </c:pt>
                <c:pt idx="22">
                  <c:v>7.1095227272727275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0F-415A-92D0-EB2B6C603F9A}"/>
            </c:ext>
          </c:extLst>
        </c:ser>
        <c:ser>
          <c:idx val="1"/>
          <c:order val="1"/>
          <c:tx>
            <c:strRef>
              <c:f>'Profil en Long'!$I$2</c:f>
              <c:strCache>
                <c:ptCount val="1"/>
                <c:pt idx="0">
                  <c:v>ZProjet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'Profil en Long'!$B$3:$B$25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'Profil en Long'!$I$3:$I$25</c:f>
              <c:numCache>
                <c:formatCode>0.00" m NGF"</c:formatCode>
                <c:ptCount val="23"/>
                <c:pt idx="0">
                  <c:v>8.9</c:v>
                </c:pt>
                <c:pt idx="1">
                  <c:v>8.84</c:v>
                </c:pt>
                <c:pt idx="2">
                  <c:v>8.8000000000000007</c:v>
                </c:pt>
                <c:pt idx="3">
                  <c:v>8.9499999999999993</c:v>
                </c:pt>
                <c:pt idx="4">
                  <c:v>8.98</c:v>
                </c:pt>
                <c:pt idx="5">
                  <c:v>9.01</c:v>
                </c:pt>
                <c:pt idx="6">
                  <c:v>9.1199999999999992</c:v>
                </c:pt>
                <c:pt idx="7">
                  <c:v>8.94</c:v>
                </c:pt>
                <c:pt idx="8">
                  <c:v>8.92</c:v>
                </c:pt>
                <c:pt idx="9">
                  <c:v>8.6999999999999993</c:v>
                </c:pt>
                <c:pt idx="10">
                  <c:v>8.69</c:v>
                </c:pt>
                <c:pt idx="11">
                  <c:v>8.48</c:v>
                </c:pt>
                <c:pt idx="12">
                  <c:v>8.41</c:v>
                </c:pt>
                <c:pt idx="13">
                  <c:v>7.85</c:v>
                </c:pt>
                <c:pt idx="14">
                  <c:v>7.82</c:v>
                </c:pt>
                <c:pt idx="15">
                  <c:v>7.81</c:v>
                </c:pt>
                <c:pt idx="16">
                  <c:v>7.8</c:v>
                </c:pt>
                <c:pt idx="17">
                  <c:v>7.79</c:v>
                </c:pt>
                <c:pt idx="18">
                  <c:v>7.73</c:v>
                </c:pt>
                <c:pt idx="19">
                  <c:v>7.71</c:v>
                </c:pt>
                <c:pt idx="20">
                  <c:v>7.42</c:v>
                </c:pt>
                <c:pt idx="21">
                  <c:v>7.27</c:v>
                </c:pt>
                <c:pt idx="22">
                  <c:v>6.95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0F-415A-92D0-EB2B6C603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4624847"/>
        <c:axId val="814630127"/>
      </c:lineChart>
      <c:catAx>
        <c:axId val="81462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4630127"/>
        <c:crosses val="autoZero"/>
        <c:auto val="1"/>
        <c:lblAlgn val="ctr"/>
        <c:lblOffset val="100"/>
        <c:noMultiLvlLbl val="0"/>
      </c:catAx>
      <c:valAx>
        <c:axId val="814630127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 m NGF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462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56030</xdr:colOff>
      <xdr:row>0</xdr:row>
      <xdr:rowOff>144779</xdr:rowOff>
    </xdr:from>
    <xdr:to>
      <xdr:col>21</xdr:col>
      <xdr:colOff>376070</xdr:colOff>
      <xdr:row>27</xdr:row>
      <xdr:rowOff>179293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CFB3B03-53FF-8D0C-3DF7-C3F0C6739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141115</xdr:colOff>
      <xdr:row>1</xdr:row>
      <xdr:rowOff>21980</xdr:rowOff>
    </xdr:from>
    <xdr:to>
      <xdr:col>5</xdr:col>
      <xdr:colOff>1429326</xdr:colOff>
      <xdr:row>7</xdr:row>
      <xdr:rowOff>75566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2810C03-B501-F6D3-9195-127ADDDF6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115" y="205153"/>
          <a:ext cx="4968671" cy="1152625"/>
        </a:xfrm>
        <a:prstGeom prst="rect">
          <a:avLst/>
        </a:prstGeom>
      </xdr:spPr>
    </xdr:pic>
    <xdr:clientData/>
  </xdr:twoCellAnchor>
  <xdr:twoCellAnchor>
    <xdr:from>
      <xdr:col>3</xdr:col>
      <xdr:colOff>402981</xdr:colOff>
      <xdr:row>7</xdr:row>
      <xdr:rowOff>75566</xdr:rowOff>
    </xdr:from>
    <xdr:to>
      <xdr:col>4</xdr:col>
      <xdr:colOff>9739</xdr:colOff>
      <xdr:row>8</xdr:row>
      <xdr:rowOff>183173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3BB34961-A706-7F3E-6293-1594C75AD946}"/>
            </a:ext>
          </a:extLst>
        </xdr:cNvPr>
        <xdr:cNvCxnSpPr>
          <a:stCxn id="2" idx="2"/>
        </xdr:cNvCxnSpPr>
      </xdr:nvCxnSpPr>
      <xdr:spPr>
        <a:xfrm flipH="1">
          <a:off x="2227385" y="1357778"/>
          <a:ext cx="398066" cy="290780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662940</xdr:colOff>
      <xdr:row>7</xdr:row>
      <xdr:rowOff>55098</xdr:rowOff>
    </xdr:from>
    <xdr:to>
      <xdr:col>5</xdr:col>
      <xdr:colOff>798634</xdr:colOff>
      <xdr:row>8</xdr:row>
      <xdr:rowOff>175846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A69E1BB6-6EEA-432D-BBE4-A45D0C382AE1}"/>
            </a:ext>
          </a:extLst>
        </xdr:cNvPr>
        <xdr:cNvCxnSpPr/>
      </xdr:nvCxnSpPr>
      <xdr:spPr>
        <a:xfrm>
          <a:off x="5088402" y="1337310"/>
          <a:ext cx="135694" cy="303921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662940</xdr:colOff>
      <xdr:row>7</xdr:row>
      <xdr:rowOff>55098</xdr:rowOff>
    </xdr:from>
    <xdr:to>
      <xdr:col>7</xdr:col>
      <xdr:colOff>864577</xdr:colOff>
      <xdr:row>8</xdr:row>
      <xdr:rowOff>175846</xdr:rowOff>
    </xdr:to>
    <xdr:cxnSp macro="">
      <xdr:nvCxnSpPr>
        <xdr:cNvPr id="13" name="Connecteur droit avec flèche 12">
          <a:extLst>
            <a:ext uri="{FF2B5EF4-FFF2-40B4-BE49-F238E27FC236}">
              <a16:creationId xmlns:a16="http://schemas.microsoft.com/office/drawing/2014/main" id="{980EEE54-D023-4565-A619-5DA97BEAB93E}"/>
            </a:ext>
          </a:extLst>
        </xdr:cNvPr>
        <xdr:cNvCxnSpPr/>
      </xdr:nvCxnSpPr>
      <xdr:spPr>
        <a:xfrm>
          <a:off x="4253132" y="1337310"/>
          <a:ext cx="2553580" cy="303921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4FD5B-D3E3-4BDF-B54F-7A85AA70F79E}">
  <dimension ref="B1:AB81"/>
  <sheetViews>
    <sheetView zoomScale="85" zoomScaleNormal="85" workbookViewId="0">
      <selection activeCell="M40" sqref="M40"/>
    </sheetView>
  </sheetViews>
  <sheetFormatPr baseColWidth="10" defaultColWidth="11.44140625" defaultRowHeight="14.4" x14ac:dyDescent="0.3"/>
  <cols>
    <col min="1" max="1" width="3.5546875" style="4" customWidth="1"/>
    <col min="2" max="2" width="11.44140625" style="9"/>
    <col min="3" max="4" width="11.44140625" style="10"/>
    <col min="5" max="8" width="11.44140625" style="4"/>
    <col min="9" max="17" width="11.44140625" style="9"/>
    <col min="18" max="16384" width="11.44140625" style="4"/>
  </cols>
  <sheetData>
    <row r="1" spans="2:17" ht="15" thickBot="1" x14ac:dyDescent="0.35">
      <c r="B1" s="4"/>
      <c r="C1" s="4"/>
      <c r="D1" s="4"/>
      <c r="I1" s="4"/>
      <c r="J1" s="4"/>
      <c r="K1" s="4"/>
      <c r="L1" s="4"/>
      <c r="M1" s="4"/>
      <c r="N1" s="4"/>
      <c r="O1" s="4"/>
      <c r="P1" s="4"/>
      <c r="Q1" s="4"/>
    </row>
    <row r="2" spans="2:17" ht="15" thickBot="1" x14ac:dyDescent="0.35">
      <c r="B2" s="1" t="s">
        <v>4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25</v>
      </c>
      <c r="H2" s="2" t="s">
        <v>24</v>
      </c>
      <c r="I2" s="2" t="s">
        <v>5</v>
      </c>
      <c r="J2" s="2" t="s">
        <v>26</v>
      </c>
      <c r="K2" s="3" t="s">
        <v>27</v>
      </c>
      <c r="L2" s="4"/>
      <c r="M2" s="4"/>
      <c r="N2" s="4"/>
      <c r="O2" s="4"/>
      <c r="P2" s="4"/>
      <c r="Q2" s="4"/>
    </row>
    <row r="3" spans="2:17" x14ac:dyDescent="0.3">
      <c r="B3" s="14">
        <v>1</v>
      </c>
      <c r="C3" s="5">
        <v>9.26</v>
      </c>
      <c r="D3" s="5">
        <v>8.48</v>
      </c>
      <c r="E3" s="7">
        <v>37.32</v>
      </c>
      <c r="F3" s="35">
        <f>IF(C3&gt;D3,(C3-D3)/E3,"!!!")</f>
        <v>2.0900321543408342E-2</v>
      </c>
      <c r="G3" s="7">
        <v>22.26</v>
      </c>
      <c r="H3" s="39">
        <f>hauteur2+distance_interpolation*pente</f>
        <v>8.9452411575562696</v>
      </c>
      <c r="I3" s="40">
        <v>8.9</v>
      </c>
      <c r="J3" s="43">
        <f>H3-5</f>
        <v>3.9452411575562696</v>
      </c>
      <c r="K3" s="43">
        <f>I3-5</f>
        <v>3.9000000000000004</v>
      </c>
      <c r="L3" s="4"/>
      <c r="M3" s="4"/>
      <c r="N3" s="4"/>
      <c r="O3" s="4"/>
      <c r="P3" s="4"/>
      <c r="Q3" s="4"/>
    </row>
    <row r="4" spans="2:17" x14ac:dyDescent="0.3">
      <c r="B4" s="16">
        <v>2</v>
      </c>
      <c r="C4" s="6">
        <v>9.4499999999999993</v>
      </c>
      <c r="D4" s="6">
        <v>8.4600000000000009</v>
      </c>
      <c r="E4" s="8">
        <v>40.15</v>
      </c>
      <c r="F4" s="35">
        <f t="shared" ref="F4:F8" si="0">IF(C4&gt;D4,(C4-D4)/E4,"!!!")</f>
        <v>2.4657534246575304E-2</v>
      </c>
      <c r="G4" s="8">
        <v>16.059999999999999</v>
      </c>
      <c r="H4" s="39">
        <f>D4+G4*F4</f>
        <v>8.8559999999999999</v>
      </c>
      <c r="I4" s="41">
        <v>8.84</v>
      </c>
      <c r="J4" s="42">
        <f t="shared" ref="J4:J28" si="1">H4-5</f>
        <v>3.8559999999999999</v>
      </c>
      <c r="K4" s="42">
        <f t="shared" ref="K4:K28" si="2">I4-5</f>
        <v>3.84</v>
      </c>
    </row>
    <row r="5" spans="2:17" x14ac:dyDescent="0.3">
      <c r="B5" s="16">
        <v>3</v>
      </c>
      <c r="C5" s="6">
        <v>9.16</v>
      </c>
      <c r="D5" s="6">
        <v>8.48</v>
      </c>
      <c r="E5" s="8">
        <v>42.54</v>
      </c>
      <c r="F5" s="35">
        <f t="shared" si="0"/>
        <v>1.59849553361542E-2</v>
      </c>
      <c r="G5" s="8">
        <v>28.65</v>
      </c>
      <c r="H5" s="39">
        <f t="shared" ref="H5:H25" si="3">D5+G5*F5</f>
        <v>8.9379689703808189</v>
      </c>
      <c r="I5" s="41">
        <v>8.8000000000000007</v>
      </c>
      <c r="J5" s="42">
        <f t="shared" si="1"/>
        <v>3.9379689703808189</v>
      </c>
      <c r="K5" s="42">
        <f t="shared" si="2"/>
        <v>3.8000000000000007</v>
      </c>
    </row>
    <row r="6" spans="2:17" x14ac:dyDescent="0.3">
      <c r="B6" s="14">
        <v>4</v>
      </c>
      <c r="C6" s="5">
        <v>9.2100000000000009</v>
      </c>
      <c r="D6" s="5">
        <v>9.16</v>
      </c>
      <c r="E6" s="36">
        <v>35.5</v>
      </c>
      <c r="F6" s="35">
        <f t="shared" si="0"/>
        <v>1.4084507042253721E-3</v>
      </c>
      <c r="G6" s="7">
        <v>11.59</v>
      </c>
      <c r="H6" s="39">
        <f t="shared" si="3"/>
        <v>9.1763239436619717</v>
      </c>
      <c r="I6" s="40">
        <v>8.9499999999999993</v>
      </c>
      <c r="J6" s="42">
        <f t="shared" si="1"/>
        <v>4.1763239436619717</v>
      </c>
      <c r="K6" s="42">
        <f t="shared" si="2"/>
        <v>3.9499999999999993</v>
      </c>
    </row>
    <row r="7" spans="2:17" x14ac:dyDescent="0.3">
      <c r="B7" s="14">
        <v>5</v>
      </c>
      <c r="C7" s="5">
        <v>9.2100000000000009</v>
      </c>
      <c r="D7" s="5">
        <v>9.16</v>
      </c>
      <c r="E7" s="36">
        <v>35.5</v>
      </c>
      <c r="F7" s="35">
        <f t="shared" si="0"/>
        <v>1.4084507042253721E-3</v>
      </c>
      <c r="G7" s="8">
        <v>15.92</v>
      </c>
      <c r="H7" s="39">
        <f t="shared" si="3"/>
        <v>9.1824225352112681</v>
      </c>
      <c r="I7" s="41">
        <v>8.98</v>
      </c>
      <c r="J7" s="42">
        <f t="shared" si="1"/>
        <v>4.1824225352112681</v>
      </c>
      <c r="K7" s="42">
        <f t="shared" si="2"/>
        <v>3.9800000000000004</v>
      </c>
    </row>
    <row r="8" spans="2:17" x14ac:dyDescent="0.3">
      <c r="B8" s="16">
        <v>6</v>
      </c>
      <c r="C8" s="5">
        <v>9.6999999999999993</v>
      </c>
      <c r="D8" s="5">
        <v>8.6300000000000008</v>
      </c>
      <c r="E8" s="36">
        <v>55.04</v>
      </c>
      <c r="F8" s="35">
        <f t="shared" si="0"/>
        <v>1.9440406976744158E-2</v>
      </c>
      <c r="G8" s="8">
        <v>29.02</v>
      </c>
      <c r="H8" s="39">
        <f t="shared" si="3"/>
        <v>9.1941606104651168</v>
      </c>
      <c r="I8" s="41">
        <v>9.01</v>
      </c>
      <c r="J8" s="42">
        <f t="shared" si="1"/>
        <v>4.1941606104651168</v>
      </c>
      <c r="K8" s="42">
        <f t="shared" si="2"/>
        <v>4.01</v>
      </c>
    </row>
    <row r="9" spans="2:17" x14ac:dyDescent="0.3">
      <c r="B9" s="19">
        <v>7</v>
      </c>
      <c r="C9" s="17">
        <v>9.2100000000000009</v>
      </c>
      <c r="D9" s="17">
        <v>9.2100000000000009</v>
      </c>
      <c r="E9" s="18">
        <v>1</v>
      </c>
      <c r="F9" s="59">
        <f>IF(C9&gt;=D9,(C9-D9)/E9,"!!!")</f>
        <v>0</v>
      </c>
      <c r="G9" s="18">
        <v>1</v>
      </c>
      <c r="H9" s="60">
        <f t="shared" si="3"/>
        <v>9.2100000000000009</v>
      </c>
      <c r="I9" s="61">
        <v>9.1199999999999992</v>
      </c>
      <c r="J9" s="62">
        <f t="shared" si="1"/>
        <v>4.2100000000000009</v>
      </c>
      <c r="K9" s="62">
        <f t="shared" si="2"/>
        <v>4.1199999999999992</v>
      </c>
    </row>
    <row r="10" spans="2:17" x14ac:dyDescent="0.3">
      <c r="B10" s="14">
        <v>8</v>
      </c>
      <c r="C10" s="6">
        <v>9.2899999999999991</v>
      </c>
      <c r="D10" s="6">
        <v>8.98</v>
      </c>
      <c r="E10" s="8">
        <v>15.43</v>
      </c>
      <c r="F10" s="35">
        <f t="shared" ref="F10:F25" si="4">IF(C10&gt;=D10,(C10-D10)/E10,"!!!")</f>
        <v>2.0090732339598103E-2</v>
      </c>
      <c r="G10" s="8">
        <v>6.08</v>
      </c>
      <c r="H10" s="39">
        <f t="shared" si="3"/>
        <v>9.102151652624757</v>
      </c>
      <c r="I10" s="41">
        <v>8.94</v>
      </c>
      <c r="J10" s="42">
        <f t="shared" si="1"/>
        <v>4.102151652624757</v>
      </c>
      <c r="K10" s="42">
        <f t="shared" si="2"/>
        <v>3.9399999999999995</v>
      </c>
    </row>
    <row r="11" spans="2:17" x14ac:dyDescent="0.3">
      <c r="B11" s="14">
        <v>9</v>
      </c>
      <c r="C11" s="6">
        <v>9.3800000000000008</v>
      </c>
      <c r="D11" s="6">
        <v>8.69</v>
      </c>
      <c r="E11" s="8">
        <v>48.77</v>
      </c>
      <c r="F11" s="35">
        <f t="shared" si="4"/>
        <v>1.414804182899326E-2</v>
      </c>
      <c r="G11" s="8">
        <v>22.86</v>
      </c>
      <c r="H11" s="39">
        <f t="shared" si="3"/>
        <v>9.0134242362107848</v>
      </c>
      <c r="I11" s="41">
        <v>8.92</v>
      </c>
      <c r="J11" s="42">
        <f t="shared" si="1"/>
        <v>4.0134242362107848</v>
      </c>
      <c r="K11" s="42">
        <f t="shared" si="2"/>
        <v>3.92</v>
      </c>
    </row>
    <row r="12" spans="2:17" x14ac:dyDescent="0.3">
      <c r="B12" s="16">
        <v>10</v>
      </c>
      <c r="C12" s="5">
        <v>8.9700000000000006</v>
      </c>
      <c r="D12" s="5">
        <v>8.83</v>
      </c>
      <c r="E12" s="7">
        <v>20.76</v>
      </c>
      <c r="F12" s="35">
        <f t="shared" si="4"/>
        <v>6.7437379576108167E-3</v>
      </c>
      <c r="G12" s="7">
        <v>10.220000000000001</v>
      </c>
      <c r="H12" s="39">
        <f t="shared" si="3"/>
        <v>8.8989210019267819</v>
      </c>
      <c r="I12" s="40">
        <v>8.6999999999999993</v>
      </c>
      <c r="J12" s="42">
        <f t="shared" si="1"/>
        <v>3.8989210019267819</v>
      </c>
      <c r="K12" s="42">
        <f t="shared" si="2"/>
        <v>3.6999999999999993</v>
      </c>
    </row>
    <row r="13" spans="2:17" x14ac:dyDescent="0.3">
      <c r="B13" s="16">
        <v>11</v>
      </c>
      <c r="C13" s="37">
        <v>9</v>
      </c>
      <c r="D13" s="6">
        <v>8.59</v>
      </c>
      <c r="E13" s="8">
        <v>23.89</v>
      </c>
      <c r="F13" s="35">
        <f t="shared" si="4"/>
        <v>1.7161992465466729E-2</v>
      </c>
      <c r="G13" s="8">
        <v>17.739999999999998</v>
      </c>
      <c r="H13" s="39">
        <f t="shared" si="3"/>
        <v>8.8944537463373798</v>
      </c>
      <c r="I13" s="41">
        <v>8.69</v>
      </c>
      <c r="J13" s="42">
        <f t="shared" si="1"/>
        <v>3.8944537463373798</v>
      </c>
      <c r="K13" s="42">
        <f t="shared" si="2"/>
        <v>3.6899999999999995</v>
      </c>
    </row>
    <row r="14" spans="2:17" x14ac:dyDescent="0.3">
      <c r="B14" s="14">
        <v>12</v>
      </c>
      <c r="C14" s="6">
        <v>8.7100000000000009</v>
      </c>
      <c r="D14" s="6">
        <v>8.59</v>
      </c>
      <c r="E14" s="8">
        <v>26.28</v>
      </c>
      <c r="F14" s="35">
        <f t="shared" si="4"/>
        <v>4.5662100456621384E-3</v>
      </c>
      <c r="G14" s="8">
        <v>14.24</v>
      </c>
      <c r="H14" s="39">
        <f t="shared" si="3"/>
        <v>8.6550228310502284</v>
      </c>
      <c r="I14" s="41">
        <v>8.48</v>
      </c>
      <c r="J14" s="42">
        <f t="shared" si="1"/>
        <v>3.6550228310502284</v>
      </c>
      <c r="K14" s="42">
        <f t="shared" si="2"/>
        <v>3.4800000000000004</v>
      </c>
    </row>
    <row r="15" spans="2:17" x14ac:dyDescent="0.3">
      <c r="B15" s="14">
        <v>13</v>
      </c>
      <c r="C15" s="5">
        <v>8.59</v>
      </c>
      <c r="D15" s="5">
        <v>8.43</v>
      </c>
      <c r="E15" s="7">
        <v>30.16</v>
      </c>
      <c r="F15" s="35">
        <f t="shared" si="4"/>
        <v>5.3050397877984134E-3</v>
      </c>
      <c r="G15" s="7">
        <v>17.78</v>
      </c>
      <c r="H15" s="39">
        <f t="shared" si="3"/>
        <v>8.5243236074270552</v>
      </c>
      <c r="I15" s="40">
        <v>8.41</v>
      </c>
      <c r="J15" s="42">
        <f t="shared" si="1"/>
        <v>3.5243236074270552</v>
      </c>
      <c r="K15" s="42">
        <f t="shared" si="2"/>
        <v>3.41</v>
      </c>
    </row>
    <row r="16" spans="2:17" x14ac:dyDescent="0.3">
      <c r="B16" s="16">
        <v>14</v>
      </c>
      <c r="C16" s="6">
        <v>7.97</v>
      </c>
      <c r="D16" s="6">
        <v>7.97</v>
      </c>
      <c r="E16" s="8">
        <v>1</v>
      </c>
      <c r="F16" s="35">
        <f t="shared" si="4"/>
        <v>0</v>
      </c>
      <c r="G16" s="8">
        <v>1</v>
      </c>
      <c r="H16" s="39">
        <f t="shared" si="3"/>
        <v>7.97</v>
      </c>
      <c r="I16" s="41">
        <v>7.85</v>
      </c>
      <c r="J16" s="42">
        <f t="shared" si="1"/>
        <v>2.9699999999999998</v>
      </c>
      <c r="K16" s="42">
        <f t="shared" si="2"/>
        <v>2.8499999999999996</v>
      </c>
    </row>
    <row r="17" spans="2:28" x14ac:dyDescent="0.3">
      <c r="B17" s="16">
        <v>15</v>
      </c>
      <c r="C17" s="6">
        <v>8.0399999999999991</v>
      </c>
      <c r="D17" s="6">
        <v>7.97</v>
      </c>
      <c r="E17" s="8">
        <v>26.69</v>
      </c>
      <c r="F17" s="35">
        <f t="shared" si="4"/>
        <v>2.6227051330085945E-3</v>
      </c>
      <c r="G17" s="8">
        <v>8.33</v>
      </c>
      <c r="H17" s="39">
        <f t="shared" si="3"/>
        <v>7.9918471337579611</v>
      </c>
      <c r="I17" s="41">
        <v>7.82</v>
      </c>
      <c r="J17" s="42">
        <f t="shared" si="1"/>
        <v>2.9918471337579611</v>
      </c>
      <c r="K17" s="42">
        <f t="shared" si="2"/>
        <v>2.8200000000000003</v>
      </c>
    </row>
    <row r="18" spans="2:28" x14ac:dyDescent="0.3">
      <c r="B18" s="14">
        <v>16</v>
      </c>
      <c r="C18" s="6">
        <v>8.0399999999999991</v>
      </c>
      <c r="D18" s="6">
        <v>7.97</v>
      </c>
      <c r="E18" s="8">
        <v>26.69</v>
      </c>
      <c r="F18" s="35">
        <f t="shared" si="4"/>
        <v>2.6227051330085945E-3</v>
      </c>
      <c r="G18" s="7">
        <v>11.04</v>
      </c>
      <c r="H18" s="39">
        <f t="shared" si="3"/>
        <v>7.9989546646684149</v>
      </c>
      <c r="I18" s="40">
        <v>7.81</v>
      </c>
      <c r="J18" s="42">
        <f t="shared" si="1"/>
        <v>2.9989546646684149</v>
      </c>
      <c r="K18" s="42">
        <f t="shared" si="2"/>
        <v>2.8099999999999996</v>
      </c>
    </row>
    <row r="19" spans="2:28" x14ac:dyDescent="0.3">
      <c r="B19" s="14">
        <v>17</v>
      </c>
      <c r="C19" s="6">
        <v>8.0399999999999991</v>
      </c>
      <c r="D19" s="6">
        <v>7.97</v>
      </c>
      <c r="E19" s="8">
        <v>26.69</v>
      </c>
      <c r="F19" s="35">
        <f t="shared" si="4"/>
        <v>2.6227051330085945E-3</v>
      </c>
      <c r="G19" s="8">
        <v>16.64</v>
      </c>
      <c r="H19" s="39">
        <f t="shared" si="3"/>
        <v>8.0136418134132636</v>
      </c>
      <c r="I19" s="41">
        <v>7.8</v>
      </c>
      <c r="J19" s="42">
        <f t="shared" si="1"/>
        <v>3.0136418134132636</v>
      </c>
      <c r="K19" s="42">
        <f t="shared" si="2"/>
        <v>2.8</v>
      </c>
    </row>
    <row r="20" spans="2:28" x14ac:dyDescent="0.3">
      <c r="B20" s="16">
        <v>18</v>
      </c>
      <c r="C20" s="6">
        <v>8.0399999999999991</v>
      </c>
      <c r="D20" s="6">
        <v>7.97</v>
      </c>
      <c r="E20" s="8">
        <v>26.69</v>
      </c>
      <c r="F20" s="35">
        <f t="shared" si="4"/>
        <v>2.6227051330085945E-3</v>
      </c>
      <c r="G20" s="8">
        <v>17.649999999999999</v>
      </c>
      <c r="H20" s="39">
        <f t="shared" si="3"/>
        <v>8.0162907455976011</v>
      </c>
      <c r="I20" s="41">
        <v>7.79</v>
      </c>
      <c r="J20" s="42">
        <f t="shared" si="1"/>
        <v>3.0162907455976011</v>
      </c>
      <c r="K20" s="42">
        <f t="shared" si="2"/>
        <v>2.79</v>
      </c>
    </row>
    <row r="21" spans="2:28" x14ac:dyDescent="0.3">
      <c r="B21" s="16">
        <v>19</v>
      </c>
      <c r="C21" s="5">
        <v>7.86</v>
      </c>
      <c r="D21" s="5">
        <v>7.74</v>
      </c>
      <c r="E21" s="7">
        <v>37.92</v>
      </c>
      <c r="F21" s="35">
        <f t="shared" si="4"/>
        <v>3.164556962025319E-3</v>
      </c>
      <c r="G21" s="7">
        <v>27.6</v>
      </c>
      <c r="H21" s="39">
        <f t="shared" si="3"/>
        <v>7.8273417721518994</v>
      </c>
      <c r="I21" s="40">
        <v>7.73</v>
      </c>
      <c r="J21" s="42">
        <f t="shared" si="1"/>
        <v>2.8273417721518994</v>
      </c>
      <c r="K21" s="42">
        <f t="shared" si="2"/>
        <v>2.7300000000000004</v>
      </c>
    </row>
    <row r="22" spans="2:28" x14ac:dyDescent="0.3">
      <c r="B22" s="14">
        <v>20</v>
      </c>
      <c r="C22" s="6">
        <v>7.86</v>
      </c>
      <c r="D22" s="6">
        <v>7.68</v>
      </c>
      <c r="E22" s="8">
        <v>36.58</v>
      </c>
      <c r="F22" s="35">
        <f t="shared" si="4"/>
        <v>4.9207217058502084E-3</v>
      </c>
      <c r="G22" s="8">
        <v>22.05</v>
      </c>
      <c r="H22" s="39">
        <f t="shared" si="3"/>
        <v>7.788501913613997</v>
      </c>
      <c r="I22" s="41">
        <v>7.71</v>
      </c>
      <c r="J22" s="42">
        <f t="shared" si="1"/>
        <v>2.788501913613997</v>
      </c>
      <c r="K22" s="42">
        <f t="shared" si="2"/>
        <v>2.71</v>
      </c>
    </row>
    <row r="23" spans="2:28" x14ac:dyDescent="0.3">
      <c r="B23" s="14">
        <v>21</v>
      </c>
      <c r="C23" s="6">
        <v>7.76</v>
      </c>
      <c r="D23" s="6">
        <v>7.57</v>
      </c>
      <c r="E23" s="8">
        <v>23.76</v>
      </c>
      <c r="F23" s="35">
        <f t="shared" si="4"/>
        <v>7.9966329966329758E-3</v>
      </c>
      <c r="G23" s="8">
        <v>15.94</v>
      </c>
      <c r="H23" s="39">
        <f t="shared" si="3"/>
        <v>7.6974663299663302</v>
      </c>
      <c r="I23" s="41">
        <v>7.42</v>
      </c>
      <c r="J23" s="42">
        <f t="shared" si="1"/>
        <v>2.6974663299663302</v>
      </c>
      <c r="K23" s="42">
        <f t="shared" si="2"/>
        <v>2.42</v>
      </c>
    </row>
    <row r="24" spans="2:28" x14ac:dyDescent="0.3">
      <c r="B24" s="19">
        <v>22</v>
      </c>
      <c r="C24" s="17">
        <v>7.57</v>
      </c>
      <c r="D24" s="17">
        <v>7.46</v>
      </c>
      <c r="E24" s="18">
        <v>20.079999999999998</v>
      </c>
      <c r="F24" s="59">
        <f t="shared" si="4"/>
        <v>5.4780876494024073E-3</v>
      </c>
      <c r="G24" s="18">
        <v>6.98</v>
      </c>
      <c r="H24" s="60">
        <f t="shared" si="3"/>
        <v>7.4982370517928292</v>
      </c>
      <c r="I24" s="61">
        <v>7.27</v>
      </c>
      <c r="J24" s="62">
        <f t="shared" si="1"/>
        <v>2.4982370517928292</v>
      </c>
      <c r="K24" s="62">
        <f t="shared" si="2"/>
        <v>2.2699999999999996</v>
      </c>
    </row>
    <row r="25" spans="2:28" x14ac:dyDescent="0.3">
      <c r="B25" s="16">
        <v>23</v>
      </c>
      <c r="C25" s="6">
        <v>7.32</v>
      </c>
      <c r="D25" s="6">
        <v>7.05</v>
      </c>
      <c r="E25" s="38">
        <v>17.600000000000001</v>
      </c>
      <c r="F25" s="35">
        <f t="shared" si="4"/>
        <v>1.5340909090909115E-2</v>
      </c>
      <c r="G25" s="8">
        <v>3.88</v>
      </c>
      <c r="H25" s="39">
        <f t="shared" si="3"/>
        <v>7.1095227272727275</v>
      </c>
      <c r="I25" s="41">
        <v>6.95</v>
      </c>
      <c r="J25" s="42">
        <f t="shared" si="1"/>
        <v>2.1095227272727275</v>
      </c>
      <c r="K25" s="42">
        <f t="shared" si="2"/>
        <v>1.9500000000000002</v>
      </c>
    </row>
    <row r="26" spans="2:28" x14ac:dyDescent="0.3">
      <c r="B26" s="16">
        <v>24</v>
      </c>
      <c r="C26" s="6">
        <v>6.61</v>
      </c>
      <c r="D26" s="6">
        <v>6.61</v>
      </c>
      <c r="E26" s="38">
        <v>1</v>
      </c>
      <c r="F26" s="35">
        <f t="shared" ref="F26:F28" si="5">IF(C26&gt;=D26,(C26-D26)/E26,"!!!")</f>
        <v>0</v>
      </c>
      <c r="G26" s="8">
        <v>1</v>
      </c>
      <c r="H26" s="39">
        <f t="shared" ref="H26:H28" si="6">D26+G26*F26</f>
        <v>6.61</v>
      </c>
      <c r="I26" s="41">
        <v>6.5</v>
      </c>
      <c r="J26" s="42">
        <f t="shared" si="1"/>
        <v>1.6100000000000003</v>
      </c>
      <c r="K26" s="42">
        <f t="shared" si="2"/>
        <v>1.5</v>
      </c>
    </row>
    <row r="27" spans="2:28" x14ac:dyDescent="0.3">
      <c r="B27" s="16">
        <v>25</v>
      </c>
      <c r="C27" s="6">
        <v>6.74</v>
      </c>
      <c r="D27" s="6">
        <v>6.61</v>
      </c>
      <c r="E27" s="38">
        <v>5.99</v>
      </c>
      <c r="F27" s="35">
        <f t="shared" si="5"/>
        <v>2.1702838063439048E-2</v>
      </c>
      <c r="G27" s="8">
        <v>4.58</v>
      </c>
      <c r="H27" s="39">
        <f t="shared" si="6"/>
        <v>6.7093989983305509</v>
      </c>
      <c r="I27" s="41">
        <v>6.56</v>
      </c>
      <c r="J27" s="42">
        <f t="shared" si="1"/>
        <v>1.7093989983305509</v>
      </c>
      <c r="K27" s="42">
        <f t="shared" si="2"/>
        <v>1.5599999999999996</v>
      </c>
    </row>
    <row r="28" spans="2:28" x14ac:dyDescent="0.3">
      <c r="B28" s="16">
        <v>26</v>
      </c>
      <c r="C28" s="6">
        <v>6.74</v>
      </c>
      <c r="D28" s="6">
        <v>6.69</v>
      </c>
      <c r="E28" s="38">
        <v>12.1</v>
      </c>
      <c r="F28" s="35">
        <f t="shared" si="5"/>
        <v>4.1322314049586631E-3</v>
      </c>
      <c r="G28" s="8">
        <v>8.51</v>
      </c>
      <c r="H28" s="39">
        <f t="shared" si="6"/>
        <v>6.7251652892561991</v>
      </c>
      <c r="I28" s="41">
        <v>6.63</v>
      </c>
      <c r="J28" s="42">
        <f t="shared" si="1"/>
        <v>1.7251652892561991</v>
      </c>
      <c r="K28" s="42">
        <f t="shared" si="2"/>
        <v>1.63</v>
      </c>
    </row>
    <row r="29" spans="2:28" ht="15" thickBot="1" x14ac:dyDescent="0.35">
      <c r="E29" s="11"/>
      <c r="F29" s="12"/>
      <c r="G29" s="11"/>
      <c r="H29" s="13"/>
    </row>
    <row r="30" spans="2:28" ht="15" thickBot="1" x14ac:dyDescent="0.35">
      <c r="B30" s="1" t="s">
        <v>28</v>
      </c>
      <c r="C30" s="53">
        <v>3.9452411575562696</v>
      </c>
      <c r="D30" s="53">
        <v>3.8559999999999999</v>
      </c>
      <c r="E30" s="53">
        <v>3.9379689703808189</v>
      </c>
      <c r="F30" s="53">
        <v>4.1763239436619717</v>
      </c>
      <c r="G30" s="53">
        <v>4.1824225352112681</v>
      </c>
      <c r="H30" s="53">
        <v>4.1941606104651168</v>
      </c>
      <c r="I30" s="53">
        <v>4.2100000000000009</v>
      </c>
      <c r="J30" s="53">
        <v>4.102151652624757</v>
      </c>
      <c r="K30" s="53">
        <v>4.0134242362107848</v>
      </c>
      <c r="L30" s="53">
        <v>3.8989210019267819</v>
      </c>
      <c r="M30" s="53">
        <v>3.8944537463373798</v>
      </c>
      <c r="N30" s="53">
        <v>3.6550228310502284</v>
      </c>
      <c r="O30" s="53">
        <v>3.5243236074270552</v>
      </c>
      <c r="P30" s="53">
        <v>2.9699999999999998</v>
      </c>
      <c r="Q30" s="53">
        <v>2.9918471337579611</v>
      </c>
      <c r="R30" s="53">
        <v>2.9989546646684149</v>
      </c>
      <c r="S30" s="53">
        <v>3.0136418134132636</v>
      </c>
      <c r="T30" s="53">
        <v>3.0162907455976011</v>
      </c>
      <c r="U30" s="53">
        <v>2.8273417721518994</v>
      </c>
      <c r="V30" s="53">
        <v>2.788501913613997</v>
      </c>
      <c r="W30" s="53">
        <v>2.6974663299663302</v>
      </c>
      <c r="X30" s="53">
        <v>2.4982370517928292</v>
      </c>
      <c r="Y30" s="53">
        <v>2.1095227272727275</v>
      </c>
      <c r="Z30" s="53">
        <v>1.6100000000000003</v>
      </c>
      <c r="AA30" s="53">
        <v>1.7093989983305509</v>
      </c>
      <c r="AB30" s="54">
        <v>1.7251652892561991</v>
      </c>
    </row>
    <row r="31" spans="2:28" ht="15" thickBot="1" x14ac:dyDescent="0.35">
      <c r="B31" s="55" t="s">
        <v>29</v>
      </c>
      <c r="C31" s="56">
        <v>3.9000000000000004</v>
      </c>
      <c r="D31" s="57">
        <v>3.84</v>
      </c>
      <c r="E31" s="57">
        <v>3.8000000000000007</v>
      </c>
      <c r="F31" s="57">
        <v>3.9499999999999993</v>
      </c>
      <c r="G31" s="57">
        <v>3.9800000000000004</v>
      </c>
      <c r="H31" s="57">
        <v>4.01</v>
      </c>
      <c r="I31" s="57">
        <v>4.1199999999999992</v>
      </c>
      <c r="J31" s="57">
        <v>3.9399999999999995</v>
      </c>
      <c r="K31" s="57">
        <v>3.92</v>
      </c>
      <c r="L31" s="57">
        <v>3.6999999999999993</v>
      </c>
      <c r="M31" s="57">
        <v>3.6899999999999995</v>
      </c>
      <c r="N31" s="57">
        <v>3.4800000000000004</v>
      </c>
      <c r="O31" s="57">
        <v>3.41</v>
      </c>
      <c r="P31" s="57">
        <v>2.8499999999999996</v>
      </c>
      <c r="Q31" s="57">
        <v>2.8200000000000003</v>
      </c>
      <c r="R31" s="57">
        <v>2.8099999999999996</v>
      </c>
      <c r="S31" s="57">
        <v>2.8</v>
      </c>
      <c r="T31" s="57">
        <v>2.79</v>
      </c>
      <c r="U31" s="57">
        <v>2.7300000000000004</v>
      </c>
      <c r="V31" s="57">
        <v>2.71</v>
      </c>
      <c r="W31" s="57">
        <v>2.42</v>
      </c>
      <c r="X31" s="57">
        <v>2.2699999999999996</v>
      </c>
      <c r="Y31" s="57">
        <v>1.9500000000000002</v>
      </c>
      <c r="Z31" s="57">
        <v>1.5</v>
      </c>
      <c r="AA31" s="57">
        <v>1.5599999999999996</v>
      </c>
      <c r="AB31" s="58">
        <v>1.63</v>
      </c>
    </row>
    <row r="32" spans="2:28" ht="15" thickBot="1" x14ac:dyDescent="0.35">
      <c r="E32" s="11"/>
      <c r="F32" s="12"/>
      <c r="G32" s="11"/>
      <c r="H32" s="13"/>
    </row>
    <row r="33" spans="2:28" ht="15" thickBot="1" x14ac:dyDescent="0.35">
      <c r="B33" s="1" t="s">
        <v>30</v>
      </c>
      <c r="C33" s="48">
        <v>8.9452411575562696</v>
      </c>
      <c r="D33" s="48">
        <v>8.8559999999999999</v>
      </c>
      <c r="E33" s="48">
        <v>8.9379689703808189</v>
      </c>
      <c r="F33" s="48">
        <v>9.1763239436619717</v>
      </c>
      <c r="G33" s="48">
        <v>9.1824225352112681</v>
      </c>
      <c r="H33" s="48">
        <v>9.1941606104651168</v>
      </c>
      <c r="I33" s="48">
        <v>9.2100000000000009</v>
      </c>
      <c r="J33" s="48">
        <v>9.102151652624757</v>
      </c>
      <c r="K33" s="48">
        <v>9.0134242362107848</v>
      </c>
      <c r="L33" s="48">
        <v>8.8989210019267819</v>
      </c>
      <c r="M33" s="48">
        <v>8.8944537463373798</v>
      </c>
      <c r="N33" s="48">
        <v>8.6550228310502284</v>
      </c>
      <c r="O33" s="48">
        <v>8.5243236074270552</v>
      </c>
      <c r="P33" s="48">
        <v>7.97</v>
      </c>
      <c r="Q33" s="48">
        <v>7.9918471337579611</v>
      </c>
      <c r="R33" s="48">
        <v>7.9989546646684149</v>
      </c>
      <c r="S33" s="48">
        <v>8.0136418134132636</v>
      </c>
      <c r="T33" s="48">
        <v>8.0162907455976011</v>
      </c>
      <c r="U33" s="48">
        <v>7.8273417721518994</v>
      </c>
      <c r="V33" s="48">
        <v>7.788501913613997</v>
      </c>
      <c r="W33" s="48">
        <v>7.6974663299663302</v>
      </c>
      <c r="X33" s="48">
        <v>7.4982370517928292</v>
      </c>
      <c r="Y33" s="48">
        <v>7.1095227272727275</v>
      </c>
      <c r="Z33" s="48">
        <v>6.61</v>
      </c>
      <c r="AA33" s="48">
        <v>6.7093989983305509</v>
      </c>
      <c r="AB33" s="49">
        <v>6.7251652892561991</v>
      </c>
    </row>
    <row r="34" spans="2:28" ht="15" thickBot="1" x14ac:dyDescent="0.35">
      <c r="B34" s="1" t="s">
        <v>31</v>
      </c>
      <c r="C34" s="50">
        <v>8.9</v>
      </c>
      <c r="D34" s="51">
        <v>8.84</v>
      </c>
      <c r="E34" s="51">
        <v>8.8000000000000007</v>
      </c>
      <c r="F34" s="50">
        <v>8.9499999999999993</v>
      </c>
      <c r="G34" s="51">
        <v>8.98</v>
      </c>
      <c r="H34" s="51">
        <v>9.01</v>
      </c>
      <c r="I34" s="50">
        <v>9.1199999999999992</v>
      </c>
      <c r="J34" s="51">
        <v>8.94</v>
      </c>
      <c r="K34" s="51">
        <v>8.92</v>
      </c>
      <c r="L34" s="50">
        <v>8.6999999999999993</v>
      </c>
      <c r="M34" s="51">
        <v>8.69</v>
      </c>
      <c r="N34" s="51">
        <v>8.48</v>
      </c>
      <c r="O34" s="50">
        <v>8.41</v>
      </c>
      <c r="P34" s="51">
        <v>7.85</v>
      </c>
      <c r="Q34" s="51">
        <v>7.82</v>
      </c>
      <c r="R34" s="50">
        <v>7.81</v>
      </c>
      <c r="S34" s="51">
        <v>7.8</v>
      </c>
      <c r="T34" s="51">
        <v>7.79</v>
      </c>
      <c r="U34" s="50">
        <v>7.73</v>
      </c>
      <c r="V34" s="51">
        <v>7.71</v>
      </c>
      <c r="W34" s="51">
        <v>7.42</v>
      </c>
      <c r="X34" s="50">
        <v>7.27</v>
      </c>
      <c r="Y34" s="51">
        <v>6.95</v>
      </c>
      <c r="Z34" s="51">
        <v>6.5</v>
      </c>
      <c r="AA34" s="51">
        <v>6.56</v>
      </c>
      <c r="AB34" s="52">
        <v>6.63</v>
      </c>
    </row>
    <row r="35" spans="2:28" x14ac:dyDescent="0.3">
      <c r="B35" s="29"/>
      <c r="C35" s="29"/>
      <c r="E35" s="11"/>
      <c r="F35" s="12"/>
      <c r="G35" s="11"/>
      <c r="H35" s="13"/>
    </row>
    <row r="36" spans="2:28" x14ac:dyDescent="0.3">
      <c r="B36" s="121" t="s">
        <v>32</v>
      </c>
      <c r="C36" s="121"/>
      <c r="D36" s="121"/>
      <c r="E36" s="121"/>
      <c r="F36" s="121"/>
      <c r="G36" s="121"/>
      <c r="H36" s="121"/>
      <c r="I36" s="121"/>
      <c r="J36" s="121"/>
      <c r="K36" s="121"/>
    </row>
    <row r="37" spans="2:28" x14ac:dyDescent="0.3">
      <c r="B37" s="46"/>
      <c r="C37" s="47"/>
      <c r="E37" s="11"/>
      <c r="F37" s="12"/>
      <c r="G37" s="11"/>
      <c r="H37" s="13"/>
    </row>
    <row r="38" spans="2:28" x14ac:dyDescent="0.3">
      <c r="B38" s="63" t="s">
        <v>4</v>
      </c>
      <c r="C38" s="63" t="s">
        <v>0</v>
      </c>
      <c r="D38" s="63" t="s">
        <v>1</v>
      </c>
      <c r="E38" s="63" t="s">
        <v>2</v>
      </c>
      <c r="F38" s="63" t="s">
        <v>3</v>
      </c>
      <c r="G38" s="63" t="s">
        <v>25</v>
      </c>
      <c r="H38" s="63" t="s">
        <v>24</v>
      </c>
      <c r="I38" s="63" t="s">
        <v>5</v>
      </c>
      <c r="J38" s="63" t="s">
        <v>26</v>
      </c>
      <c r="K38" s="63" t="s">
        <v>27</v>
      </c>
    </row>
    <row r="39" spans="2:28" x14ac:dyDescent="0.3">
      <c r="B39" s="8" t="s">
        <v>33</v>
      </c>
      <c r="C39" s="6">
        <v>9.6999999999999993</v>
      </c>
      <c r="D39" s="6">
        <v>9.2100000000000009</v>
      </c>
      <c r="E39" s="8">
        <v>23.63</v>
      </c>
      <c r="F39" s="64">
        <f>IF(C39&gt;D39,(C39-D39)/E39,"!!!")</f>
        <v>2.0736352094794686E-2</v>
      </c>
      <c r="G39" s="8">
        <v>14.37</v>
      </c>
      <c r="H39" s="65">
        <f>D39+G39*F39</f>
        <v>9.5079813796022012</v>
      </c>
      <c r="I39" s="41" t="s">
        <v>13</v>
      </c>
      <c r="J39" s="42">
        <f>H39-7</f>
        <v>2.5079813796022012</v>
      </c>
      <c r="K39" s="42" t="s">
        <v>13</v>
      </c>
    </row>
    <row r="40" spans="2:28" x14ac:dyDescent="0.3">
      <c r="B40" s="8" t="s">
        <v>34</v>
      </c>
      <c r="C40" s="6">
        <v>9.2100000000000009</v>
      </c>
      <c r="D40" s="6">
        <v>9.2100000000000009</v>
      </c>
      <c r="E40" s="8">
        <v>1</v>
      </c>
      <c r="F40" s="64">
        <f>IF(C40&gt;=D40,(C40-D40)/E40,"!!!")</f>
        <v>0</v>
      </c>
      <c r="G40" s="8">
        <v>1</v>
      </c>
      <c r="H40" s="65">
        <f>D40+G40*F40</f>
        <v>9.2100000000000009</v>
      </c>
      <c r="I40" s="41" t="s">
        <v>13</v>
      </c>
      <c r="J40" s="42">
        <f t="shared" ref="J40:J41" si="7">H40-7</f>
        <v>2.2100000000000009</v>
      </c>
      <c r="K40" s="42" t="s">
        <v>13</v>
      </c>
    </row>
    <row r="41" spans="2:28" x14ac:dyDescent="0.3">
      <c r="B41" s="8" t="s">
        <v>35</v>
      </c>
      <c r="C41" s="6">
        <v>9.2100000000000009</v>
      </c>
      <c r="D41" s="6">
        <v>8.85</v>
      </c>
      <c r="E41" s="8">
        <v>14.53</v>
      </c>
      <c r="F41" s="64">
        <f t="shared" ref="F41:F44" si="8">IF(C41&gt;D41,(C41-D41)/E41,"!!!")</f>
        <v>2.4776324845148055E-2</v>
      </c>
      <c r="G41" s="8">
        <v>8.35</v>
      </c>
      <c r="H41" s="65">
        <f t="shared" ref="H41:H44" si="9">D41+G41*F41</f>
        <v>9.0568823124569864</v>
      </c>
      <c r="I41" s="41" t="s">
        <v>13</v>
      </c>
      <c r="J41" s="42">
        <f t="shared" si="7"/>
        <v>2.0568823124569864</v>
      </c>
      <c r="K41" s="42" t="s">
        <v>13</v>
      </c>
    </row>
    <row r="42" spans="2:28" x14ac:dyDescent="0.3">
      <c r="B42" s="8" t="s">
        <v>36</v>
      </c>
      <c r="C42" s="6">
        <v>7.76</v>
      </c>
      <c r="D42" s="6">
        <v>7.32</v>
      </c>
      <c r="E42" s="38">
        <v>31.43</v>
      </c>
      <c r="F42" s="64">
        <f t="shared" si="8"/>
        <v>1.3999363665287926E-2</v>
      </c>
      <c r="G42" s="8">
        <v>15</v>
      </c>
      <c r="H42" s="65">
        <f t="shared" si="9"/>
        <v>7.5299904549793188</v>
      </c>
      <c r="I42" s="41" t="s">
        <v>13</v>
      </c>
      <c r="J42" s="42">
        <f t="shared" ref="J42:J44" si="10">H42-5</f>
        <v>2.5299904549793188</v>
      </c>
      <c r="K42" s="42" t="s">
        <v>13</v>
      </c>
    </row>
    <row r="43" spans="2:28" x14ac:dyDescent="0.3">
      <c r="B43" s="8" t="s">
        <v>37</v>
      </c>
      <c r="C43" s="6">
        <v>7.57</v>
      </c>
      <c r="D43" s="6">
        <v>7.46</v>
      </c>
      <c r="E43" s="38">
        <v>20.079999999999998</v>
      </c>
      <c r="F43" s="64">
        <f t="shared" si="8"/>
        <v>5.4780876494024073E-3</v>
      </c>
      <c r="G43" s="8">
        <v>6.98</v>
      </c>
      <c r="H43" s="65">
        <f t="shared" si="9"/>
        <v>7.4982370517928292</v>
      </c>
      <c r="I43" s="41" t="s">
        <v>13</v>
      </c>
      <c r="J43" s="42">
        <f t="shared" si="10"/>
        <v>2.4982370517928292</v>
      </c>
      <c r="K43" s="42" t="s">
        <v>13</v>
      </c>
    </row>
    <row r="44" spans="2:28" x14ac:dyDescent="0.3">
      <c r="B44" s="8" t="s">
        <v>38</v>
      </c>
      <c r="C44" s="6">
        <v>7.68</v>
      </c>
      <c r="D44" s="6">
        <v>7.27</v>
      </c>
      <c r="E44" s="38">
        <v>31.9</v>
      </c>
      <c r="F44" s="64">
        <f t="shared" si="8"/>
        <v>1.2852664576802513E-2</v>
      </c>
      <c r="G44" s="8">
        <v>15.1</v>
      </c>
      <c r="H44" s="65">
        <f t="shared" si="9"/>
        <v>7.4640752351097177</v>
      </c>
      <c r="I44" s="41" t="s">
        <v>13</v>
      </c>
      <c r="J44" s="42">
        <f t="shared" si="10"/>
        <v>2.4640752351097177</v>
      </c>
      <c r="K44" s="42" t="s">
        <v>13</v>
      </c>
    </row>
    <row r="45" spans="2:28" x14ac:dyDescent="0.3">
      <c r="B45" s="46"/>
      <c r="C45" s="47"/>
      <c r="E45" s="11"/>
      <c r="F45" s="12"/>
      <c r="G45" s="11"/>
      <c r="H45" s="13"/>
    </row>
    <row r="46" spans="2:28" x14ac:dyDescent="0.3">
      <c r="B46" s="63" t="s">
        <v>40</v>
      </c>
      <c r="C46" s="42">
        <v>2.5079813796022012</v>
      </c>
      <c r="D46" s="42">
        <v>2.2100000000000009</v>
      </c>
      <c r="E46" s="42">
        <v>2.0568823124569864</v>
      </c>
      <c r="F46" s="63" t="s">
        <v>39</v>
      </c>
      <c r="G46" s="42">
        <v>2.5299904549793188</v>
      </c>
      <c r="H46" s="42">
        <v>2.4982370517928292</v>
      </c>
      <c r="I46" s="42">
        <v>2.4640752351097177</v>
      </c>
    </row>
    <row r="47" spans="2:28" x14ac:dyDescent="0.3">
      <c r="B47" s="46"/>
      <c r="C47" s="47"/>
      <c r="E47" s="11"/>
      <c r="F47" s="12"/>
      <c r="G47" s="11"/>
      <c r="H47" s="13"/>
    </row>
    <row r="48" spans="2:28" x14ac:dyDescent="0.3">
      <c r="B48" s="46"/>
      <c r="C48" s="47"/>
      <c r="E48" s="11"/>
      <c r="F48" s="12"/>
      <c r="G48" s="11"/>
      <c r="H48" s="13"/>
    </row>
    <row r="49" spans="2:8" x14ac:dyDescent="0.3">
      <c r="B49" s="46"/>
      <c r="C49" s="47"/>
      <c r="E49" s="11"/>
      <c r="F49" s="12"/>
      <c r="G49" s="11"/>
      <c r="H49" s="13"/>
    </row>
    <row r="50" spans="2:8" x14ac:dyDescent="0.3">
      <c r="B50" s="46"/>
      <c r="C50" s="47"/>
      <c r="E50" s="11"/>
      <c r="F50" s="12"/>
      <c r="G50" s="29"/>
      <c r="H50" s="29"/>
    </row>
    <row r="51" spans="2:8" x14ac:dyDescent="0.3">
      <c r="B51" s="46"/>
      <c r="C51" s="47"/>
      <c r="E51" s="11"/>
      <c r="F51" s="12"/>
      <c r="G51" s="45"/>
      <c r="H51" s="45"/>
    </row>
    <row r="52" spans="2:8" x14ac:dyDescent="0.3">
      <c r="B52" s="46"/>
      <c r="C52" s="47"/>
      <c r="E52" s="11"/>
      <c r="F52" s="12"/>
      <c r="G52" s="45"/>
      <c r="H52" s="45"/>
    </row>
    <row r="53" spans="2:8" x14ac:dyDescent="0.3">
      <c r="B53" s="46"/>
      <c r="C53" s="47"/>
      <c r="E53" s="11"/>
      <c r="F53" s="12"/>
      <c r="G53" s="45"/>
      <c r="H53" s="45"/>
    </row>
    <row r="54" spans="2:8" x14ac:dyDescent="0.3">
      <c r="B54" s="46"/>
      <c r="C54" s="47"/>
      <c r="E54" s="11"/>
      <c r="F54" s="12"/>
      <c r="G54" s="45"/>
      <c r="H54" s="45"/>
    </row>
    <row r="55" spans="2:8" x14ac:dyDescent="0.3">
      <c r="B55" s="46"/>
      <c r="C55" s="47"/>
      <c r="E55" s="11"/>
      <c r="F55" s="12"/>
      <c r="G55" s="45"/>
      <c r="H55" s="45"/>
    </row>
    <row r="56" spans="2:8" x14ac:dyDescent="0.3">
      <c r="B56" s="46"/>
      <c r="C56" s="47"/>
      <c r="E56" s="11"/>
      <c r="F56" s="12"/>
      <c r="G56" s="45"/>
      <c r="H56" s="45"/>
    </row>
    <row r="57" spans="2:8" x14ac:dyDescent="0.3">
      <c r="B57" s="46"/>
      <c r="C57" s="47"/>
      <c r="D57" s="44"/>
      <c r="E57" s="11"/>
      <c r="F57" s="12"/>
      <c r="G57" s="45"/>
      <c r="H57" s="45"/>
    </row>
    <row r="58" spans="2:8" x14ac:dyDescent="0.3">
      <c r="B58" s="46"/>
      <c r="C58" s="47"/>
      <c r="E58" s="11"/>
      <c r="F58" s="12"/>
      <c r="G58" s="45"/>
      <c r="H58" s="45"/>
    </row>
    <row r="59" spans="2:8" x14ac:dyDescent="0.3">
      <c r="B59" s="46"/>
      <c r="C59" s="47"/>
      <c r="E59" s="11"/>
      <c r="F59" s="12"/>
      <c r="G59" s="45"/>
      <c r="H59" s="45"/>
    </row>
    <row r="60" spans="2:8" x14ac:dyDescent="0.3">
      <c r="B60" s="46"/>
      <c r="C60" s="47"/>
      <c r="E60" s="11"/>
      <c r="F60" s="12"/>
      <c r="G60" s="45"/>
      <c r="H60" s="45"/>
    </row>
    <row r="61" spans="2:8" x14ac:dyDescent="0.3">
      <c r="B61" s="46"/>
      <c r="C61" s="47"/>
      <c r="E61" s="11"/>
      <c r="F61" s="12"/>
      <c r="G61" s="45"/>
      <c r="H61" s="45"/>
    </row>
    <row r="62" spans="2:8" x14ac:dyDescent="0.3">
      <c r="E62" s="11"/>
      <c r="F62" s="12"/>
      <c r="G62" s="45"/>
      <c r="H62" s="45"/>
    </row>
    <row r="63" spans="2:8" x14ac:dyDescent="0.3">
      <c r="E63" s="11"/>
      <c r="F63" s="12"/>
      <c r="G63" s="45"/>
      <c r="H63" s="45"/>
    </row>
    <row r="64" spans="2:8" x14ac:dyDescent="0.3">
      <c r="E64" s="11"/>
      <c r="F64" s="12"/>
      <c r="G64" s="45"/>
      <c r="H64" s="45"/>
    </row>
    <row r="65" spans="5:8" x14ac:dyDescent="0.3">
      <c r="E65" s="11"/>
      <c r="F65" s="12"/>
      <c r="G65" s="45"/>
      <c r="H65" s="45"/>
    </row>
    <row r="66" spans="5:8" x14ac:dyDescent="0.3">
      <c r="E66" s="11"/>
      <c r="F66" s="12"/>
      <c r="G66" s="45"/>
      <c r="H66" s="45"/>
    </row>
    <row r="67" spans="5:8" x14ac:dyDescent="0.3">
      <c r="E67" s="11"/>
      <c r="F67" s="12"/>
      <c r="G67" s="45"/>
      <c r="H67" s="45"/>
    </row>
    <row r="68" spans="5:8" x14ac:dyDescent="0.3">
      <c r="E68" s="11"/>
      <c r="F68" s="12"/>
      <c r="G68" s="45"/>
      <c r="H68" s="45"/>
    </row>
    <row r="69" spans="5:8" x14ac:dyDescent="0.3">
      <c r="E69" s="11"/>
      <c r="F69" s="12"/>
      <c r="G69" s="45"/>
      <c r="H69" s="45"/>
    </row>
    <row r="70" spans="5:8" x14ac:dyDescent="0.3">
      <c r="E70" s="11"/>
      <c r="F70" s="12"/>
      <c r="G70" s="45"/>
      <c r="H70" s="45"/>
    </row>
    <row r="71" spans="5:8" x14ac:dyDescent="0.3">
      <c r="E71" s="11"/>
      <c r="F71" s="12"/>
      <c r="G71" s="45"/>
      <c r="H71" s="45"/>
    </row>
    <row r="72" spans="5:8" x14ac:dyDescent="0.3">
      <c r="E72" s="11"/>
      <c r="F72" s="12"/>
      <c r="G72" s="45"/>
      <c r="H72" s="45"/>
    </row>
    <row r="73" spans="5:8" x14ac:dyDescent="0.3">
      <c r="E73" s="11"/>
      <c r="F73" s="12"/>
      <c r="G73" s="45"/>
      <c r="H73" s="45"/>
    </row>
    <row r="74" spans="5:8" x14ac:dyDescent="0.3">
      <c r="F74" s="12"/>
      <c r="G74" s="45"/>
      <c r="H74" s="45"/>
    </row>
    <row r="75" spans="5:8" x14ac:dyDescent="0.3">
      <c r="F75" s="12"/>
      <c r="G75" s="45"/>
      <c r="H75" s="45"/>
    </row>
    <row r="76" spans="5:8" x14ac:dyDescent="0.3">
      <c r="F76" s="12"/>
      <c r="G76" s="45"/>
      <c r="H76" s="45"/>
    </row>
    <row r="77" spans="5:8" x14ac:dyDescent="0.3">
      <c r="F77" s="12"/>
      <c r="G77" s="11"/>
      <c r="H77" s="13"/>
    </row>
    <row r="78" spans="5:8" x14ac:dyDescent="0.3">
      <c r="F78" s="12"/>
      <c r="H78" s="13"/>
    </row>
    <row r="79" spans="5:8" x14ac:dyDescent="0.3">
      <c r="F79" s="12"/>
      <c r="H79" s="13"/>
    </row>
    <row r="80" spans="5:8" x14ac:dyDescent="0.3">
      <c r="H80" s="13"/>
    </row>
    <row r="81" spans="8:8" x14ac:dyDescent="0.3">
      <c r="H81" s="13"/>
    </row>
  </sheetData>
  <sortState xmlns:xlrd2="http://schemas.microsoft.com/office/spreadsheetml/2017/richdata2" ref="B3:I25">
    <sortCondition ref="B3:B25"/>
  </sortState>
  <mergeCells count="1">
    <mergeCell ref="B36:K36"/>
  </mergeCells>
  <phoneticPr fontId="7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749BB-1447-401E-AE20-E2AC49580369}">
  <dimension ref="B1:H7"/>
  <sheetViews>
    <sheetView workbookViewId="0">
      <selection activeCell="H17" sqref="H17"/>
    </sheetView>
  </sheetViews>
  <sheetFormatPr baseColWidth="10" defaultRowHeight="14.4" x14ac:dyDescent="0.3"/>
  <cols>
    <col min="1" max="1" width="3.109375" style="9" customWidth="1"/>
    <col min="2" max="16384" width="11.5546875" style="9"/>
  </cols>
  <sheetData>
    <row r="1" spans="2:8" ht="15" thickBot="1" x14ac:dyDescent="0.35"/>
    <row r="2" spans="2:8" ht="15" thickBot="1" x14ac:dyDescent="0.35">
      <c r="B2" s="134" t="s">
        <v>4</v>
      </c>
      <c r="C2" s="135" t="s">
        <v>0</v>
      </c>
      <c r="D2" s="135" t="s">
        <v>1</v>
      </c>
      <c r="E2" s="135" t="s">
        <v>2</v>
      </c>
      <c r="F2" s="135" t="s">
        <v>3</v>
      </c>
      <c r="G2" s="135" t="s">
        <v>25</v>
      </c>
      <c r="H2" s="136" t="s">
        <v>41</v>
      </c>
    </row>
    <row r="3" spans="2:8" x14ac:dyDescent="0.3">
      <c r="B3" s="14">
        <v>1</v>
      </c>
      <c r="C3" s="5">
        <v>7.73</v>
      </c>
      <c r="D3" s="5">
        <v>7.73</v>
      </c>
      <c r="E3" s="7">
        <v>1</v>
      </c>
      <c r="F3" s="35">
        <f>IF(C3&gt;=D3,(C3-D3)/E3,"!!!")</f>
        <v>0</v>
      </c>
      <c r="G3" s="7">
        <v>1</v>
      </c>
      <c r="H3" s="70">
        <f>D3+G3*F3</f>
        <v>7.73</v>
      </c>
    </row>
    <row r="4" spans="2:8" x14ac:dyDescent="0.3">
      <c r="B4" s="16">
        <v>2</v>
      </c>
      <c r="C4" s="6">
        <v>7.42</v>
      </c>
      <c r="D4" s="6">
        <v>7.27</v>
      </c>
      <c r="E4" s="8">
        <v>12.987</v>
      </c>
      <c r="F4" s="35">
        <f t="shared" ref="F4:F7" si="0">IF(C4&gt;=D4,(C4-D4)/E4,"!!!")</f>
        <v>1.1550011550011577E-2</v>
      </c>
      <c r="G4" s="8">
        <v>8.141</v>
      </c>
      <c r="H4" s="70">
        <f>D4+G4*F4</f>
        <v>7.364028644028644</v>
      </c>
    </row>
    <row r="5" spans="2:8" x14ac:dyDescent="0.3">
      <c r="B5" s="16">
        <v>3</v>
      </c>
      <c r="C5" s="6">
        <v>6.95</v>
      </c>
      <c r="D5" s="6">
        <v>6.95</v>
      </c>
      <c r="E5" s="8">
        <v>1</v>
      </c>
      <c r="F5" s="35">
        <f t="shared" si="0"/>
        <v>0</v>
      </c>
      <c r="G5" s="8">
        <v>1</v>
      </c>
      <c r="H5" s="70">
        <f t="shared" ref="H5:H7" si="1">D5+G5*F5</f>
        <v>6.95</v>
      </c>
    </row>
    <row r="6" spans="2:8" x14ac:dyDescent="0.3">
      <c r="B6" s="14">
        <v>4</v>
      </c>
      <c r="C6" s="5">
        <v>6.95</v>
      </c>
      <c r="D6" s="5">
        <v>6.5</v>
      </c>
      <c r="E6" s="36">
        <v>67.644999999999996</v>
      </c>
      <c r="F6" s="35">
        <f t="shared" si="0"/>
        <v>6.6523763766723363E-3</v>
      </c>
      <c r="G6" s="7">
        <v>31.370999999999999</v>
      </c>
      <c r="H6" s="70">
        <f t="shared" si="1"/>
        <v>6.7086916993125882</v>
      </c>
    </row>
    <row r="7" spans="2:8" ht="15" thickBot="1" x14ac:dyDescent="0.35">
      <c r="B7" s="66">
        <v>5</v>
      </c>
      <c r="C7" s="67">
        <v>6.67</v>
      </c>
      <c r="D7" s="67">
        <v>6.67</v>
      </c>
      <c r="E7" s="68">
        <v>1</v>
      </c>
      <c r="F7" s="69">
        <f t="shared" si="0"/>
        <v>0</v>
      </c>
      <c r="G7" s="15">
        <v>1</v>
      </c>
      <c r="H7" s="71">
        <f t="shared" si="1"/>
        <v>6.67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6D46B-C997-49D6-B789-D411EC4FADD9}">
  <dimension ref="B1:S15"/>
  <sheetViews>
    <sheetView zoomScaleNormal="100" workbookViewId="0">
      <selection activeCell="H30" sqref="H30"/>
    </sheetView>
  </sheetViews>
  <sheetFormatPr baseColWidth="10" defaultRowHeight="14.4" x14ac:dyDescent="0.3"/>
  <cols>
    <col min="1" max="1" width="3.33203125" style="11" customWidth="1"/>
    <col min="2" max="5" width="11.5546875" style="11"/>
    <col min="6" max="6" width="12.5546875" style="11" bestFit="1" customWidth="1"/>
    <col min="7" max="7" width="11.5546875" style="9"/>
    <col min="8" max="18" width="11.5546875" style="11"/>
    <col min="19" max="19" width="11.5546875" style="9"/>
    <col min="20" max="16384" width="11.5546875" style="11"/>
  </cols>
  <sheetData>
    <row r="1" spans="2:17" ht="15" thickBot="1" x14ac:dyDescent="0.35">
      <c r="G1"/>
    </row>
    <row r="2" spans="2:17" ht="43.8" thickBot="1" x14ac:dyDescent="0.35">
      <c r="B2" s="1" t="s">
        <v>4</v>
      </c>
      <c r="C2" s="2" t="s">
        <v>6</v>
      </c>
      <c r="D2" s="2" t="s">
        <v>19</v>
      </c>
      <c r="E2" s="2" t="s">
        <v>10</v>
      </c>
      <c r="F2" s="2" t="s">
        <v>11</v>
      </c>
      <c r="G2" s="2" t="s">
        <v>9</v>
      </c>
      <c r="H2" s="2" t="s">
        <v>18</v>
      </c>
      <c r="I2" s="2" t="s">
        <v>7</v>
      </c>
      <c r="J2" s="2" t="s">
        <v>12</v>
      </c>
      <c r="K2" s="2" t="s">
        <v>8</v>
      </c>
      <c r="L2" s="3" t="s">
        <v>20</v>
      </c>
      <c r="N2" s="25" t="s">
        <v>14</v>
      </c>
      <c r="O2" s="26" t="s">
        <v>17</v>
      </c>
      <c r="P2" s="26" t="s">
        <v>15</v>
      </c>
      <c r="Q2" s="27" t="s">
        <v>16</v>
      </c>
    </row>
    <row r="3" spans="2:17" x14ac:dyDescent="0.3">
      <c r="B3" s="23">
        <v>-3</v>
      </c>
      <c r="C3" s="72">
        <v>8.82</v>
      </c>
      <c r="D3" s="20"/>
      <c r="E3" s="21">
        <v>0</v>
      </c>
      <c r="F3" s="21">
        <v>0.6</v>
      </c>
      <c r="G3" s="21">
        <v>0.6</v>
      </c>
      <c r="H3" s="28">
        <f t="shared" ref="H3:H11" si="0">SUM(D3:G3)+Htampon</f>
        <v>1.27</v>
      </c>
      <c r="I3" s="75">
        <f>C3-H3</f>
        <v>7.5500000000000007</v>
      </c>
      <c r="J3" s="72">
        <v>33.1</v>
      </c>
      <c r="K3" s="30">
        <f t="shared" ref="K3:K4" si="1">(I3-I4)/J3*100</f>
        <v>1.2084592145015143</v>
      </c>
      <c r="L3" s="31"/>
      <c r="M3" s="92"/>
      <c r="N3" s="14">
        <v>0.45</v>
      </c>
      <c r="O3" s="7">
        <v>0.3</v>
      </c>
      <c r="P3" s="7">
        <v>0.45</v>
      </c>
      <c r="Q3" s="24">
        <v>7.0000000000000007E-2</v>
      </c>
    </row>
    <row r="4" spans="2:17" x14ac:dyDescent="0.3">
      <c r="B4" s="23">
        <v>-2</v>
      </c>
      <c r="C4" s="72">
        <v>8.92</v>
      </c>
      <c r="D4" s="20">
        <v>0.05</v>
      </c>
      <c r="E4" s="21">
        <v>0.45</v>
      </c>
      <c r="F4" s="21">
        <v>0.6</v>
      </c>
      <c r="G4" s="21">
        <v>0.6</v>
      </c>
      <c r="H4" s="28">
        <f t="shared" si="0"/>
        <v>1.7700000000000002</v>
      </c>
      <c r="I4" s="75">
        <f>C4-H4</f>
        <v>7.1499999999999995</v>
      </c>
      <c r="J4" s="72">
        <v>33.1</v>
      </c>
      <c r="K4" s="30">
        <f t="shared" si="1"/>
        <v>0.96676737160120652</v>
      </c>
      <c r="L4" s="31"/>
      <c r="N4" s="14">
        <v>0.6</v>
      </c>
      <c r="O4" s="7">
        <v>0.45</v>
      </c>
      <c r="P4" s="7">
        <v>0.6</v>
      </c>
      <c r="Q4" s="24"/>
    </row>
    <row r="5" spans="2:17" x14ac:dyDescent="0.3">
      <c r="B5" s="23">
        <v>-1</v>
      </c>
      <c r="C5" s="72">
        <v>9</v>
      </c>
      <c r="D5" s="20">
        <v>0</v>
      </c>
      <c r="E5" s="21">
        <v>0.9</v>
      </c>
      <c r="F5" s="21">
        <v>0.6</v>
      </c>
      <c r="G5" s="21">
        <v>0.6</v>
      </c>
      <c r="H5" s="28">
        <f t="shared" si="0"/>
        <v>2.17</v>
      </c>
      <c r="I5" s="75">
        <f>C5-H5</f>
        <v>6.83</v>
      </c>
      <c r="J5" s="72">
        <v>53.89</v>
      </c>
      <c r="K5" s="30">
        <f>(I5-I7)/J5*100</f>
        <v>1.0762664687326036</v>
      </c>
      <c r="L5" s="31"/>
      <c r="N5" s="14"/>
      <c r="O5" s="7">
        <v>0.6</v>
      </c>
      <c r="P5" s="7">
        <v>0.75</v>
      </c>
      <c r="Q5" s="24"/>
    </row>
    <row r="6" spans="2:17" x14ac:dyDescent="0.3">
      <c r="B6" s="82">
        <v>0</v>
      </c>
      <c r="C6" s="83">
        <v>7.65</v>
      </c>
      <c r="D6" s="84">
        <v>0.03</v>
      </c>
      <c r="E6" s="84">
        <v>0.6</v>
      </c>
      <c r="F6" s="84">
        <v>0.45</v>
      </c>
      <c r="G6" s="84">
        <v>0.6</v>
      </c>
      <c r="H6" s="85">
        <f t="shared" si="0"/>
        <v>1.7500000000000002</v>
      </c>
      <c r="I6" s="86">
        <v>6.53</v>
      </c>
      <c r="J6" s="87" t="s">
        <v>13</v>
      </c>
      <c r="K6" s="88" t="s">
        <v>13</v>
      </c>
      <c r="L6" s="89"/>
      <c r="N6" s="14"/>
      <c r="O6" s="7">
        <v>0.75</v>
      </c>
      <c r="P6" s="7">
        <v>0.9</v>
      </c>
      <c r="Q6" s="24"/>
    </row>
    <row r="7" spans="2:17" x14ac:dyDescent="0.3">
      <c r="B7" s="22">
        <v>1</v>
      </c>
      <c r="C7" s="72">
        <v>7.73</v>
      </c>
      <c r="D7" s="20">
        <v>0.06</v>
      </c>
      <c r="E7" s="21">
        <v>0.45</v>
      </c>
      <c r="F7" s="21">
        <v>0.45</v>
      </c>
      <c r="G7" s="21">
        <v>0.45</v>
      </c>
      <c r="H7" s="28">
        <f t="shared" si="0"/>
        <v>1.48</v>
      </c>
      <c r="I7" s="75">
        <f>C7-H7</f>
        <v>6.25</v>
      </c>
      <c r="J7" s="72">
        <v>34.11</v>
      </c>
      <c r="K7" s="91">
        <f>(I6-I7)/J7*100</f>
        <v>0.82087364409264219</v>
      </c>
      <c r="L7" s="31"/>
      <c r="N7" s="14"/>
      <c r="O7" s="7">
        <v>0.9</v>
      </c>
      <c r="P7" s="7">
        <v>1.05</v>
      </c>
      <c r="Q7" s="24"/>
    </row>
    <row r="8" spans="2:17" x14ac:dyDescent="0.3">
      <c r="B8" s="22">
        <v>2</v>
      </c>
      <c r="C8" s="72">
        <v>7.364028644028644</v>
      </c>
      <c r="D8" s="20">
        <v>0</v>
      </c>
      <c r="E8" s="21">
        <v>0.45</v>
      </c>
      <c r="F8" s="21">
        <v>0.45</v>
      </c>
      <c r="G8" s="21">
        <v>0.45</v>
      </c>
      <c r="H8" s="28">
        <f t="shared" si="0"/>
        <v>1.4200000000000002</v>
      </c>
      <c r="I8" s="75">
        <f>C8-H8</f>
        <v>5.9440286440286441</v>
      </c>
      <c r="J8" s="72">
        <v>34.079000000000001</v>
      </c>
      <c r="K8" s="30">
        <f t="shared" ref="K8:K11" si="2">(I7-I8)/J8*100</f>
        <v>0.89782961932966321</v>
      </c>
      <c r="L8" s="31"/>
      <c r="N8" s="14"/>
      <c r="O8" s="7"/>
      <c r="P8" s="7">
        <v>1.2</v>
      </c>
      <c r="Q8" s="24"/>
    </row>
    <row r="9" spans="2:17" x14ac:dyDescent="0.3">
      <c r="B9" s="22">
        <v>3</v>
      </c>
      <c r="C9" s="72">
        <v>6.95</v>
      </c>
      <c r="D9" s="20">
        <v>0.01</v>
      </c>
      <c r="E9" s="21">
        <v>0.3</v>
      </c>
      <c r="F9" s="21">
        <v>0.45</v>
      </c>
      <c r="G9" s="21">
        <v>0.45</v>
      </c>
      <c r="H9" s="28">
        <f t="shared" si="0"/>
        <v>1.28</v>
      </c>
      <c r="I9" s="75">
        <f>C9-H9</f>
        <v>5.67</v>
      </c>
      <c r="J9" s="72">
        <v>34.087000000000003</v>
      </c>
      <c r="K9" s="30">
        <f t="shared" si="2"/>
        <v>0.80390953744431637</v>
      </c>
      <c r="L9" s="31"/>
      <c r="N9" s="14"/>
      <c r="O9" s="7"/>
      <c r="P9" s="7">
        <v>1.35</v>
      </c>
      <c r="Q9" s="24"/>
    </row>
    <row r="10" spans="2:17" x14ac:dyDescent="0.3">
      <c r="B10" s="22">
        <v>4</v>
      </c>
      <c r="C10" s="72">
        <v>6.7086916993125882</v>
      </c>
      <c r="D10" s="20">
        <v>0.05</v>
      </c>
      <c r="E10" s="21">
        <v>0.3</v>
      </c>
      <c r="F10" s="21">
        <v>0.45</v>
      </c>
      <c r="G10" s="21">
        <v>0.45</v>
      </c>
      <c r="H10" s="28">
        <f t="shared" si="0"/>
        <v>1.32</v>
      </c>
      <c r="I10" s="75">
        <f>C10-H10</f>
        <v>5.388691699312588</v>
      </c>
      <c r="J10" s="72">
        <v>34.549999999999997</v>
      </c>
      <c r="K10" s="30">
        <f t="shared" si="2"/>
        <v>0.81420636957282788</v>
      </c>
      <c r="L10" s="31"/>
      <c r="N10" s="14"/>
      <c r="O10" s="7"/>
      <c r="P10" s="7">
        <v>1.5</v>
      </c>
      <c r="Q10" s="24"/>
    </row>
    <row r="11" spans="2:17" ht="15" thickBot="1" x14ac:dyDescent="0.35">
      <c r="B11" s="90">
        <v>5</v>
      </c>
      <c r="C11" s="76">
        <v>6.67</v>
      </c>
      <c r="D11" s="77">
        <v>0.03</v>
      </c>
      <c r="E11" s="77">
        <v>0.6</v>
      </c>
      <c r="F11" s="77">
        <v>0.45</v>
      </c>
      <c r="G11" s="77">
        <v>0.6</v>
      </c>
      <c r="H11" s="78">
        <f t="shared" si="0"/>
        <v>1.7500000000000002</v>
      </c>
      <c r="I11" s="79">
        <v>4.92</v>
      </c>
      <c r="J11" s="76">
        <v>44.136000000000003</v>
      </c>
      <c r="K11" s="80">
        <f t="shared" si="2"/>
        <v>1.0619260905215426</v>
      </c>
      <c r="L11" s="81"/>
      <c r="N11" s="66"/>
      <c r="O11" s="73"/>
      <c r="P11" s="73">
        <v>1.65</v>
      </c>
      <c r="Q11" s="74"/>
    </row>
    <row r="13" spans="2:17" x14ac:dyDescent="0.3"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</row>
    <row r="15" spans="2:17" x14ac:dyDescent="0.3"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</row>
  </sheetData>
  <mergeCells count="1">
    <mergeCell ref="B13:L13"/>
  </mergeCells>
  <conditionalFormatting sqref="K3:K5 K7:K11">
    <cfRule type="cellIs" dxfId="1" priority="3" operator="lessThan">
      <formula>0.8</formula>
    </cfRule>
    <cfRule type="cellIs" dxfId="0" priority="4" operator="greaterThan">
      <formula>2.5</formula>
    </cfRule>
  </conditionalFormatting>
  <dataValidations disablePrompts="1" count="2">
    <dataValidation type="list" allowBlank="1" showInputMessage="1" showErrorMessage="1" sqref="G3:G11" xr:uid="{88336A93-DF87-4BEA-9DB7-9E99A5058DFF}">
      <formula1>$N$3:$N$4</formula1>
    </dataValidation>
    <dataValidation type="list" allowBlank="1" showInputMessage="1" showErrorMessage="1" sqref="F3:F11" xr:uid="{0DE07857-1CEE-4213-81FB-E769200551AF}">
      <formula1>$P$3:$P$4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0EF1E-C60F-4613-B1B2-412BFEC16273}">
  <dimension ref="B9:I26"/>
  <sheetViews>
    <sheetView tabSelected="1" zoomScale="85" zoomScaleNormal="85" workbookViewId="0">
      <selection activeCell="G20" sqref="G20"/>
    </sheetView>
  </sheetViews>
  <sheetFormatPr baseColWidth="10" defaultRowHeight="14.4" x14ac:dyDescent="0.3"/>
  <cols>
    <col min="1" max="1" width="3.44140625" style="9" customWidth="1"/>
    <col min="2" max="2" width="13.33203125" style="9" bestFit="1" customWidth="1"/>
    <col min="3" max="3" width="11.5546875" style="9"/>
    <col min="4" max="4" width="15.33203125" style="9" bestFit="1" customWidth="1"/>
    <col min="5" max="5" width="10.44140625" style="9" customWidth="1"/>
    <col min="6" max="6" width="22.77734375" style="9" bestFit="1" customWidth="1"/>
    <col min="7" max="7" width="11.5546875" style="9"/>
    <col min="8" max="8" width="22.77734375" style="9" bestFit="1" customWidth="1"/>
    <col min="9" max="16384" width="11.5546875" style="9"/>
  </cols>
  <sheetData>
    <row r="9" spans="2:9" ht="15" thickBot="1" x14ac:dyDescent="0.35"/>
    <row r="10" spans="2:9" ht="18" x14ac:dyDescent="0.3">
      <c r="B10" s="96" t="s">
        <v>21</v>
      </c>
      <c r="C10" s="97" t="s">
        <v>22</v>
      </c>
      <c r="D10" s="108" t="s">
        <v>42</v>
      </c>
      <c r="E10" s="98" t="s">
        <v>46</v>
      </c>
      <c r="F10" s="98" t="s">
        <v>44</v>
      </c>
      <c r="G10" s="99" t="s">
        <v>47</v>
      </c>
      <c r="H10" s="99" t="s">
        <v>45</v>
      </c>
      <c r="I10" s="109" t="s">
        <v>43</v>
      </c>
    </row>
    <row r="11" spans="2:9" x14ac:dyDescent="0.3">
      <c r="B11" s="32">
        <f>7.63-5.7</f>
        <v>1.9299999999999997</v>
      </c>
      <c r="C11" s="106">
        <f>7.65-6.53</f>
        <v>1.1200000000000001</v>
      </c>
      <c r="D11" s="123" t="s">
        <v>23</v>
      </c>
      <c r="E11" s="102"/>
      <c r="F11" s="103"/>
      <c r="G11" s="104"/>
      <c r="H11" s="105"/>
      <c r="I11" s="100">
        <f>B11-C11</f>
        <v>0.80999999999999961</v>
      </c>
    </row>
    <row r="12" spans="2:9" x14ac:dyDescent="0.3">
      <c r="B12" s="32">
        <f>AVERAGE(B11,B13)</f>
        <v>1.9550000000000001</v>
      </c>
      <c r="C12" s="106">
        <f>AVERAGE(C11,C13)</f>
        <v>1.1200000000000001</v>
      </c>
      <c r="D12" s="123"/>
      <c r="E12" s="95">
        <v>400</v>
      </c>
      <c r="F12" s="93">
        <f>E12/1000+2*0.55</f>
        <v>1.5</v>
      </c>
      <c r="G12" s="94">
        <v>200</v>
      </c>
      <c r="H12" s="33">
        <f>IF(G12/1000+2*0.35&gt;1.1,G12/1000+2*0.35,1.1)</f>
        <v>1.1000000000000001</v>
      </c>
      <c r="I12" s="100">
        <f t="shared" ref="I12:I17" si="0">B12-C12</f>
        <v>0.83499999999999996</v>
      </c>
    </row>
    <row r="13" spans="2:9" x14ac:dyDescent="0.3">
      <c r="B13" s="32">
        <f>8.14-6.16</f>
        <v>1.9800000000000004</v>
      </c>
      <c r="C13" s="106">
        <f>8.18-7.06</f>
        <v>1.1200000000000001</v>
      </c>
      <c r="D13" s="123"/>
      <c r="F13" s="112">
        <f>F12/2</f>
        <v>0.75</v>
      </c>
      <c r="G13" s="104"/>
      <c r="H13" s="112">
        <f>H12/2</f>
        <v>0.55000000000000004</v>
      </c>
      <c r="I13" s="100">
        <f t="shared" si="0"/>
        <v>0.86000000000000032</v>
      </c>
    </row>
    <row r="14" spans="2:9" x14ac:dyDescent="0.3">
      <c r="B14" s="32">
        <f>AVERAGE(B13,B15)</f>
        <v>2.0050000000000008</v>
      </c>
      <c r="C14" s="106">
        <f>AVERAGE(C13,C15)</f>
        <v>1.1950000000000003</v>
      </c>
      <c r="D14" s="123"/>
      <c r="E14" s="95">
        <v>400</v>
      </c>
      <c r="F14" s="93">
        <f>E14/1000+2*0.55</f>
        <v>1.5</v>
      </c>
      <c r="G14" s="94">
        <v>200</v>
      </c>
      <c r="H14" s="33">
        <f>IF(G14/1000+2*0.35&gt;1.1,G14/1000+2*0.35,1.1)</f>
        <v>1.1000000000000001</v>
      </c>
      <c r="I14" s="100">
        <f t="shared" si="0"/>
        <v>0.8100000000000005</v>
      </c>
    </row>
    <row r="15" spans="2:9" x14ac:dyDescent="0.3">
      <c r="B15" s="32">
        <f>8.8-6.77</f>
        <v>2.0300000000000011</v>
      </c>
      <c r="C15" s="106">
        <f>8.83-7.56</f>
        <v>1.2700000000000005</v>
      </c>
      <c r="D15" s="123"/>
      <c r="F15" s="112">
        <f>F14/2</f>
        <v>0.75</v>
      </c>
      <c r="H15" s="112">
        <f>H14/2</f>
        <v>0.55000000000000004</v>
      </c>
      <c r="I15" s="100">
        <f t="shared" si="0"/>
        <v>0.76000000000000068</v>
      </c>
    </row>
    <row r="16" spans="2:9" x14ac:dyDescent="0.3">
      <c r="B16" s="32">
        <f>AVERAGE(B15,B17)</f>
        <v>1.8000000000000003</v>
      </c>
      <c r="C16" s="106">
        <f>AVERAGE(C15,C17)</f>
        <v>1.1950000000000007</v>
      </c>
      <c r="D16" s="123"/>
      <c r="E16" s="95">
        <v>300</v>
      </c>
      <c r="F16" s="93">
        <f>E16/1000+2*0.55</f>
        <v>1.4000000000000001</v>
      </c>
      <c r="G16" s="94">
        <v>200</v>
      </c>
      <c r="H16" s="33">
        <f>IF(G16/1000+2*0.35&gt;1.1,G16/1000+2*0.35,1.1)</f>
        <v>1.1000000000000001</v>
      </c>
      <c r="I16" s="100">
        <f t="shared" si="0"/>
        <v>0.60499999999999954</v>
      </c>
    </row>
    <row r="17" spans="2:9" ht="15" thickBot="1" x14ac:dyDescent="0.35">
      <c r="B17" s="34">
        <f>9.12-7.55</f>
        <v>1.5699999999999994</v>
      </c>
      <c r="C17" s="107">
        <f>9.14-8.02</f>
        <v>1.120000000000001</v>
      </c>
      <c r="D17" s="124"/>
      <c r="E17" s="110"/>
      <c r="F17" s="113">
        <f>F16/2</f>
        <v>0.70000000000000007</v>
      </c>
      <c r="G17" s="111"/>
      <c r="H17" s="113">
        <f>H16/2</f>
        <v>0.55000000000000004</v>
      </c>
      <c r="I17" s="101">
        <f t="shared" si="0"/>
        <v>0.4499999999999984</v>
      </c>
    </row>
    <row r="19" spans="2:9" ht="15" thickBot="1" x14ac:dyDescent="0.35"/>
    <row r="20" spans="2:9" ht="15" thickBot="1" x14ac:dyDescent="0.35">
      <c r="B20" s="131" t="s">
        <v>54</v>
      </c>
      <c r="C20" s="132"/>
      <c r="D20" s="133"/>
    </row>
    <row r="21" spans="2:9" x14ac:dyDescent="0.3">
      <c r="B21" s="125" t="s">
        <v>48</v>
      </c>
      <c r="C21" s="126"/>
      <c r="D21" s="114">
        <f>6.53+(7.06-6.53)/37.996*7.548</f>
        <v>6.6352858195599538</v>
      </c>
    </row>
    <row r="22" spans="2:9" x14ac:dyDescent="0.3">
      <c r="B22" s="127" t="s">
        <v>49</v>
      </c>
      <c r="C22" s="128"/>
      <c r="D22" s="116">
        <f>5.7+(6.16-5.7)/37.996*7.548</f>
        <v>5.7913801452784508</v>
      </c>
    </row>
    <row r="23" spans="2:9" x14ac:dyDescent="0.3">
      <c r="B23" s="117"/>
      <c r="C23" s="115" t="s">
        <v>50</v>
      </c>
      <c r="D23" s="118">
        <f>7.65+(8.18-7.65)/37.996*7.548</f>
        <v>7.7552858195599539</v>
      </c>
    </row>
    <row r="24" spans="2:9" x14ac:dyDescent="0.3">
      <c r="B24" s="117"/>
      <c r="C24" s="115" t="s">
        <v>51</v>
      </c>
      <c r="D24" s="116">
        <f>7.63+(8.14-7.63)/37.996*7.548</f>
        <v>7.7313127697652382</v>
      </c>
    </row>
    <row r="25" spans="2:9" x14ac:dyDescent="0.3">
      <c r="B25" s="127" t="s">
        <v>53</v>
      </c>
      <c r="C25" s="128"/>
      <c r="D25" s="119">
        <f>D23-D21</f>
        <v>1.1200000000000001</v>
      </c>
    </row>
    <row r="26" spans="2:9" ht="15" thickBot="1" x14ac:dyDescent="0.35">
      <c r="B26" s="129" t="s">
        <v>52</v>
      </c>
      <c r="C26" s="130"/>
      <c r="D26" s="120">
        <f>D24-D22</f>
        <v>1.9399326244867874</v>
      </c>
    </row>
  </sheetData>
  <mergeCells count="6">
    <mergeCell ref="D11:D17"/>
    <mergeCell ref="B21:C21"/>
    <mergeCell ref="B22:C22"/>
    <mergeCell ref="B25:C25"/>
    <mergeCell ref="B26:C26"/>
    <mergeCell ref="B20:D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6</vt:i4>
      </vt:variant>
    </vt:vector>
  </HeadingPairs>
  <TitlesOfParts>
    <vt:vector size="10" baseType="lpstr">
      <vt:lpstr>Profil en Long</vt:lpstr>
      <vt:lpstr>Ztampons EU</vt:lpstr>
      <vt:lpstr>Feuille calcul EU</vt:lpstr>
      <vt:lpstr>EP-EU Profondeur TR</vt:lpstr>
      <vt:lpstr>distance_interpolation</vt:lpstr>
      <vt:lpstr>hauteur1</vt:lpstr>
      <vt:lpstr>hauteur2</vt:lpstr>
      <vt:lpstr>Htampon</vt:lpstr>
      <vt:lpstr>longueur</vt:lpstr>
      <vt:lpstr>pente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GARS Jules</dc:creator>
  <cp:lastModifiedBy>Julou LG</cp:lastModifiedBy>
  <dcterms:created xsi:type="dcterms:W3CDTF">2025-03-10T14:57:54Z</dcterms:created>
  <dcterms:modified xsi:type="dcterms:W3CDTF">2025-05-28T14:54:47Z</dcterms:modified>
</cp:coreProperties>
</file>